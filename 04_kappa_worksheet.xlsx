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ategoryMap" sheetId="3" state="visible" r:id="rId3"/>
    <sheet xmlns:r="http://schemas.openxmlformats.org/officeDocument/2006/relationships" name="Weights" sheetId="4" state="visible" r:id="rId4"/>
    <sheet xmlns:r="http://schemas.openxmlformats.org/officeDocument/2006/relationships" name="Confusion_matrix" sheetId="5" state="visible" r:id="rId5"/>
    <sheet xmlns:r="http://schemas.openxmlformats.org/officeDocument/2006/relationships" name="Kappa_by_question" sheetId="6" state="visible" r:id="rId6"/>
    <sheet xmlns:r="http://schemas.openxmlformats.org/officeDocument/2006/relationships" name="Kappa_by_study" sheetId="7" state="visible" r:id="rId7"/>
  </sheets>
  <definedNames>
    <definedName name="CategoryMap">CategoryMap!$A$2:$B$4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Support worksheet — weighted kappa and consensus decision</t>
        </is>
      </c>
    </row>
    <row r="2">
      <c r="A2" s="2" t="inlineStr"/>
    </row>
    <row r="3">
      <c r="A3" s="1" t="inlineStr">
        <is>
          <t>What this is.</t>
        </is>
      </c>
    </row>
    <row r="4">
      <c r="A4" s="2" t="inlineStr">
        <is>
          <t>Shows, cell by cell, how the weighted kappa cited in the "Quality Assessment (Q4-Q8)" section of the article was calculated — to serve as auditable support for the consensus decision, not as a number to be taken on faith.</t>
        </is>
      </c>
    </row>
    <row r="5">
      <c r="A5" s="2" t="inlineStr"/>
    </row>
    <row r="6">
      <c r="A6" s="1" t="inlineStr">
        <is>
          <t>Why weighted kappa, and not simple kappa.</t>
        </is>
      </c>
    </row>
    <row r="7">
      <c r="A7" s="2" t="inlineStr">
        <is>
          <t>The Q1-Q8 answers sit on a 3-point ordinal scale: No (0) &lt; Partial (0.5) &lt; Yes (1). Cohen's simple kappa (1960) treats any disagreement as equally serious — "No vs. Yes" would weigh the same as "No vs. Partial", which ignores the scale's order. Cohen's weighted kappa (1968), with linear weights, penalizes disagreement in proportion to the distance between categories — the correct choice for an ordinal scale, and the same logic used for quality assessment in the software-engineering systematic-review literature.</t>
        </is>
      </c>
    </row>
    <row r="8">
      <c r="A8" s="2" t="inlineStr"/>
    </row>
    <row r="9">
      <c r="A9" s="1" t="inlineStr">
        <is>
          <t>Why linear weighting, and not quadratic.</t>
        </is>
      </c>
    </row>
    <row r="10">
      <c r="A10" s="2" t="inlineStr">
        <is>
          <t>Quadratic weighting penalizes a 2-step disagreement (No vs. Yes) 4x more than a 1-step disagreement — over-penalizing the extreme on a scale with only 3 points. Linear weighting penalizes proportionally (2x), a more conservative treatment and more common in systematic-review reports. See the "Weights" sheet.</t>
        </is>
      </c>
    </row>
    <row r="11">
      <c r="A11" s="2" t="inlineStr"/>
    </row>
    <row r="12">
      <c r="A12" s="1" t="inlineStr">
        <is>
          <t>How to read the "Data" sheet.</t>
        </is>
      </c>
    </row>
    <row r="13">
      <c r="A13" s="2" t="inlineStr">
        <is>
          <t>One row per (study, question) — 187 studies × 8 questions = 1,496 rows, the same total cited in the article. The response columns carry the models' real names (Opus, Sonnet) rather than "Rater 1/2": in the source CSV, Avaliador_1 is always an `opus` and Avaliador_2 always a `sonnet` in this corpus. The "Human consensus" column comes from the already-adjudicated consensus panel (`consenso_rsl.csv`) — shown here only to compare which rater each divergence followed, not to recompute the adjudication.</t>
        </is>
      </c>
    </row>
    <row r="14">
      <c r="A14" s="2" t="inlineStr"/>
    </row>
    <row r="15">
      <c r="A15" s="1" t="inlineStr">
        <is>
          <t>How to read "Confusion_matrix" and "Kappa_by_question".</t>
        </is>
      </c>
    </row>
    <row r="16">
      <c r="A16" s="2" t="inlineStr">
        <is>
          <t>Each question has a 3×3 contingency table (Opus in the rows, Sonnet in the columns), calculated with COUNTIFS over the "Data" sheet — change an answer in "Data" and the matrix and the kappa recalculate on their own. "Kappa_by_question" applies the weighted-kappa formula over each matrix and classifies the result using the Landis &amp; Koch (1977) bands — the standard reference for "what counts as acceptable agreement" (used to justify the ≥ 0.60 threshold for gate G3).</t>
        </is>
      </c>
    </row>
    <row r="17">
      <c r="A17" s="2" t="inlineStr"/>
    </row>
    <row r="18">
      <c r="A18" s="1" t="inlineStr">
        <is>
          <t>Cross-check.</t>
        </is>
      </c>
    </row>
    <row r="19">
      <c r="A19" s="2" t="inlineStr">
        <is>
          <t>The values computed by this worksheet's formulas reproduce those already published in the article: overall = 0.59 (article: 0.59); Q3 = 0.31 (article: 0.31); Q8 = 0.38 (article: 0.38); Q5 = 0.79, Q6 = 0.77, Q7 = 0.78 (article: 0.77-0.79); median per study = 0.50 (article: 0.50). Cross-checked with scikit-learn (cohen_kappa_score, weights='linear') from the same CSVs — see relatorios/gerar_planilha_kappa.py.</t>
        </is>
      </c>
    </row>
    <row r="20">
      <c r="A20" s="2" t="inlineStr"/>
    </row>
    <row r="21">
      <c r="A21" s="1" t="inlineStr">
        <is>
          <t>References.</t>
        </is>
      </c>
    </row>
    <row r="22">
      <c r="A22" s="2" t="inlineStr">
        <is>
          <t>COHEN, J. A coefficient of agreement for nominal scales. Educational and Psychological Measurement, v. 20, n. 1, p. 37-46, 1960.</t>
        </is>
      </c>
    </row>
    <row r="23">
      <c r="A23" s="2" t="inlineStr">
        <is>
          <t>COHEN, J. Weighted kappa: nominal scale agreement with provision for scaled disagreement or partial credit. Psychological Bulletin, v. 70, n. 4, p. 213-220, 1968.</t>
        </is>
      </c>
    </row>
    <row r="24">
      <c r="A24" s="2" t="inlineStr">
        <is>
          <t>LANDIS, J. R.; KOCH, G. G. The measurement of observer agreement for categorical data. Biometrics, v. 33, n. 1, p. 159-174, 1977.</t>
        </is>
      </c>
    </row>
    <row r="25">
      <c r="A25" s="2" t="inlineStr">
        <is>
          <t>MCHUGH, M. L. Interrater reliability: the kappa statistic. Biochemia Medica, v. 22, n. 3, p. 276-282, 2012.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9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15" customWidth="1" min="4" max="4"/>
    <col width="9" customWidth="1" min="5" max="5"/>
    <col width="11" customWidth="1" min="6" max="6"/>
    <col width="15" customWidth="1" min="7" max="7"/>
    <col width="10" customWidth="1" min="8" max="8"/>
    <col width="16" customWidth="1" min="9" max="9"/>
    <col width="16" customWidth="1" min="10" max="10"/>
  </cols>
  <sheetData>
    <row r="1">
      <c r="A1" s="3" t="inlineStr">
        <is>
          <t>Study_ID</t>
        </is>
      </c>
      <c r="B1" s="3" t="inlineStr">
        <is>
          <t>Question</t>
        </is>
      </c>
      <c r="C1" s="3" t="inlineStr">
        <is>
          <t>Response_Opus</t>
        </is>
      </c>
      <c r="D1" s="3" t="inlineStr">
        <is>
          <t>Response_Sonnet</t>
        </is>
      </c>
      <c r="E1" s="3" t="inlineStr">
        <is>
          <t>Code_Opus</t>
        </is>
      </c>
      <c r="F1" s="3" t="inlineStr">
        <is>
          <t>Code_Sonnet</t>
        </is>
      </c>
      <c r="G1" s="3" t="inlineStr">
        <is>
          <t>Step_difference</t>
        </is>
      </c>
      <c r="H1" s="3" t="inlineStr">
        <is>
          <t>Agrees</t>
        </is>
      </c>
      <c r="I1" s="3" t="inlineStr">
        <is>
          <t>Human_consensus</t>
        </is>
      </c>
      <c r="J1" s="3" t="inlineStr">
        <is>
          <t>Consensus_matches</t>
        </is>
      </c>
    </row>
    <row r="2">
      <c r="A2" t="inlineStr">
        <is>
          <t>R003</t>
        </is>
      </c>
      <c r="B2" t="inlineStr">
        <is>
          <t>Q1</t>
        </is>
      </c>
      <c r="C2" t="inlineStr">
        <is>
          <t>Partial</t>
        </is>
      </c>
      <c r="D2" t="inlineStr">
        <is>
          <t>No</t>
        </is>
      </c>
      <c r="E2">
        <f>VLOOKUP(C2,CategoryMap,2,0)</f>
        <v/>
      </c>
      <c r="F2">
        <f>VLOOKUP(D2,CategoryMap,2,0)</f>
        <v/>
      </c>
      <c r="G2">
        <f>ABS(E2-F2)</f>
        <v/>
      </c>
      <c r="H2">
        <f>IF(G2=0,"Yes","No")</f>
        <v/>
      </c>
      <c r="I2" t="inlineStr">
        <is>
          <t>No</t>
        </is>
      </c>
      <c r="J2">
        <f>IF(I2="","",IF(AND(I2=C2,I2=D2),"Both",IF(I2=C2,"Opus",IF(I2=D2,"Sonnet","Neither"))))</f>
        <v/>
      </c>
    </row>
    <row r="3">
      <c r="A3" t="inlineStr">
        <is>
          <t>R003</t>
        </is>
      </c>
      <c r="B3" t="inlineStr">
        <is>
          <t>Q2</t>
        </is>
      </c>
      <c r="C3" t="inlineStr">
        <is>
          <t>Partial</t>
        </is>
      </c>
      <c r="D3" t="inlineStr">
        <is>
          <t>Partial</t>
        </is>
      </c>
      <c r="E3">
        <f>VLOOKUP(C3,CategoryMap,2,0)</f>
        <v/>
      </c>
      <c r="F3">
        <f>VLOOKUP(D3,CategoryMap,2,0)</f>
        <v/>
      </c>
      <c r="G3">
        <f>ABS(E3-F3)</f>
        <v/>
      </c>
      <c r="H3">
        <f>IF(G3=0,"Yes","No")</f>
        <v/>
      </c>
      <c r="I3" t="inlineStr">
        <is>
          <t>Partial</t>
        </is>
      </c>
      <c r="J3">
        <f>IF(I3="","",IF(AND(I3=C3,I3=D3),"Both",IF(I3=C3,"Opus",IF(I3=D3,"Sonnet","Neither"))))</f>
        <v/>
      </c>
    </row>
    <row r="4">
      <c r="A4" t="inlineStr">
        <is>
          <t>R003</t>
        </is>
      </c>
      <c r="B4" t="inlineStr">
        <is>
          <t>Q3</t>
        </is>
      </c>
      <c r="C4" t="inlineStr">
        <is>
          <t>Yes</t>
        </is>
      </c>
      <c r="D4" t="inlineStr">
        <is>
          <t>Partial</t>
        </is>
      </c>
      <c r="E4">
        <f>VLOOKUP(C4,CategoryMap,2,0)</f>
        <v/>
      </c>
      <c r="F4">
        <f>VLOOKUP(D4,CategoryMap,2,0)</f>
        <v/>
      </c>
      <c r="G4">
        <f>ABS(E4-F4)</f>
        <v/>
      </c>
      <c r="H4">
        <f>IF(G4=0,"Yes","No")</f>
        <v/>
      </c>
      <c r="I4" t="inlineStr">
        <is>
          <t>Partial</t>
        </is>
      </c>
      <c r="J4">
        <f>IF(I4="","",IF(AND(I4=C4,I4=D4),"Both",IF(I4=C4,"Opus",IF(I4=D4,"Sonnet","Neither"))))</f>
        <v/>
      </c>
    </row>
    <row r="5">
      <c r="A5" t="inlineStr">
        <is>
          <t>R003</t>
        </is>
      </c>
      <c r="B5" t="inlineStr">
        <is>
          <t>Q4</t>
        </is>
      </c>
      <c r="C5" t="inlineStr">
        <is>
          <t>Yes</t>
        </is>
      </c>
      <c r="D5" t="inlineStr">
        <is>
          <t>Yes</t>
        </is>
      </c>
      <c r="E5">
        <f>VLOOKUP(C5,CategoryMap,2,0)</f>
        <v/>
      </c>
      <c r="F5">
        <f>VLOOKUP(D5,CategoryMap,2,0)</f>
        <v/>
      </c>
      <c r="G5">
        <f>ABS(E5-F5)</f>
        <v/>
      </c>
      <c r="H5">
        <f>IF(G5=0,"Yes","No")</f>
        <v/>
      </c>
      <c r="I5" t="inlineStr">
        <is>
          <t>Yes</t>
        </is>
      </c>
      <c r="J5">
        <f>IF(I5="","",IF(AND(I5=C5,I5=D5),"Both",IF(I5=C5,"Opus",IF(I5=D5,"Sonnet","Neither"))))</f>
        <v/>
      </c>
    </row>
    <row r="6">
      <c r="A6" t="inlineStr">
        <is>
          <t>R003</t>
        </is>
      </c>
      <c r="B6" t="inlineStr">
        <is>
          <t>Q5</t>
        </is>
      </c>
      <c r="C6" t="inlineStr">
        <is>
          <t>Partial</t>
        </is>
      </c>
      <c r="D6" t="inlineStr">
        <is>
          <t>Yes</t>
        </is>
      </c>
      <c r="E6">
        <f>VLOOKUP(C6,CategoryMap,2,0)</f>
        <v/>
      </c>
      <c r="F6">
        <f>VLOOKUP(D6,CategoryMap,2,0)</f>
        <v/>
      </c>
      <c r="G6">
        <f>ABS(E6-F6)</f>
        <v/>
      </c>
      <c r="H6">
        <f>IF(G6=0,"Yes","No")</f>
        <v/>
      </c>
      <c r="I6" t="inlineStr">
        <is>
          <t>Partial</t>
        </is>
      </c>
      <c r="J6">
        <f>IF(I6="","",IF(AND(I6=C6,I6=D6),"Both",IF(I6=C6,"Opus",IF(I6=D6,"Sonnet","Neither"))))</f>
        <v/>
      </c>
    </row>
    <row r="7">
      <c r="A7" t="inlineStr">
        <is>
          <t>R003</t>
        </is>
      </c>
      <c r="B7" t="inlineStr">
        <is>
          <t>Q6</t>
        </is>
      </c>
      <c r="C7" t="inlineStr">
        <is>
          <t>Yes</t>
        </is>
      </c>
      <c r="D7" t="inlineStr">
        <is>
          <t>Yes</t>
        </is>
      </c>
      <c r="E7">
        <f>VLOOKUP(C7,CategoryMap,2,0)</f>
        <v/>
      </c>
      <c r="F7">
        <f>VLOOKUP(D7,CategoryMap,2,0)</f>
        <v/>
      </c>
      <c r="G7">
        <f>ABS(E7-F7)</f>
        <v/>
      </c>
      <c r="H7">
        <f>IF(G7=0,"Yes","No")</f>
        <v/>
      </c>
      <c r="I7" t="inlineStr">
        <is>
          <t>Yes</t>
        </is>
      </c>
      <c r="J7">
        <f>IF(I7="","",IF(AND(I7=C7,I7=D7),"Both",IF(I7=C7,"Opus",IF(I7=D7,"Sonnet","Neither"))))</f>
        <v/>
      </c>
    </row>
    <row r="8">
      <c r="A8" t="inlineStr">
        <is>
          <t>R003</t>
        </is>
      </c>
      <c r="B8" t="inlineStr">
        <is>
          <t>Q7</t>
        </is>
      </c>
      <c r="C8" t="inlineStr">
        <is>
          <t>Yes</t>
        </is>
      </c>
      <c r="D8" t="inlineStr">
        <is>
          <t>Yes</t>
        </is>
      </c>
      <c r="E8">
        <f>VLOOKUP(C8,CategoryMap,2,0)</f>
        <v/>
      </c>
      <c r="F8">
        <f>VLOOKUP(D8,CategoryMap,2,0)</f>
        <v/>
      </c>
      <c r="G8">
        <f>ABS(E8-F8)</f>
        <v/>
      </c>
      <c r="H8">
        <f>IF(G8=0,"Yes","No")</f>
        <v/>
      </c>
      <c r="I8" t="inlineStr">
        <is>
          <t>Yes</t>
        </is>
      </c>
      <c r="J8">
        <f>IF(I8="","",IF(AND(I8=C8,I8=D8),"Both",IF(I8=C8,"Opus",IF(I8=D8,"Sonnet","Neither"))))</f>
        <v/>
      </c>
    </row>
    <row r="9">
      <c r="A9" t="inlineStr">
        <is>
          <t>R003</t>
        </is>
      </c>
      <c r="B9" t="inlineStr">
        <is>
          <t>Q8</t>
        </is>
      </c>
      <c r="C9" t="inlineStr">
        <is>
          <t>Partial</t>
        </is>
      </c>
      <c r="D9" t="inlineStr">
        <is>
          <t>No</t>
        </is>
      </c>
      <c r="E9">
        <f>VLOOKUP(C9,CategoryMap,2,0)</f>
        <v/>
      </c>
      <c r="F9">
        <f>VLOOKUP(D9,CategoryMap,2,0)</f>
        <v/>
      </c>
      <c r="G9">
        <f>ABS(E9-F9)</f>
        <v/>
      </c>
      <c r="H9">
        <f>IF(G9=0,"Yes","No")</f>
        <v/>
      </c>
      <c r="I9" t="inlineStr">
        <is>
          <t>No</t>
        </is>
      </c>
      <c r="J9">
        <f>IF(I9="","",IF(AND(I9=C9,I9=D9),"Both",IF(I9=C9,"Opus",IF(I9=D9,"Sonnet","Neither"))))</f>
        <v/>
      </c>
    </row>
    <row r="10">
      <c r="A10" t="inlineStr">
        <is>
          <t>R006</t>
        </is>
      </c>
      <c r="B10" t="inlineStr">
        <is>
          <t>Q1</t>
        </is>
      </c>
      <c r="C10" t="inlineStr">
        <is>
          <t>Yes</t>
        </is>
      </c>
      <c r="D10" t="inlineStr">
        <is>
          <t>Yes</t>
        </is>
      </c>
      <c r="E10">
        <f>VLOOKUP(C10,CategoryMap,2,0)</f>
        <v/>
      </c>
      <c r="F10">
        <f>VLOOKUP(D10,CategoryMap,2,0)</f>
        <v/>
      </c>
      <c r="G10">
        <f>ABS(E10-F10)</f>
        <v/>
      </c>
      <c r="H10">
        <f>IF(G10=0,"Yes","No")</f>
        <v/>
      </c>
      <c r="I10" t="inlineStr">
        <is>
          <t>Yes</t>
        </is>
      </c>
      <c r="J10">
        <f>IF(I10="","",IF(AND(I10=C10,I10=D10),"Both",IF(I10=C10,"Opus",IF(I10=D10,"Sonnet","Neither"))))</f>
        <v/>
      </c>
    </row>
    <row r="11">
      <c r="A11" t="inlineStr">
        <is>
          <t>R006</t>
        </is>
      </c>
      <c r="B11" t="inlineStr">
        <is>
          <t>Q2</t>
        </is>
      </c>
      <c r="C11" t="inlineStr">
        <is>
          <t>Yes</t>
        </is>
      </c>
      <c r="D11" t="inlineStr">
        <is>
          <t>Yes</t>
        </is>
      </c>
      <c r="E11">
        <f>VLOOKUP(C11,CategoryMap,2,0)</f>
        <v/>
      </c>
      <c r="F11">
        <f>VLOOKUP(D11,CategoryMap,2,0)</f>
        <v/>
      </c>
      <c r="G11">
        <f>ABS(E11-F11)</f>
        <v/>
      </c>
      <c r="H11">
        <f>IF(G11=0,"Yes","No")</f>
        <v/>
      </c>
      <c r="I11" t="inlineStr">
        <is>
          <t>Yes</t>
        </is>
      </c>
      <c r="J11">
        <f>IF(I11="","",IF(AND(I11=C11,I11=D11),"Both",IF(I11=C11,"Opus",IF(I11=D11,"Sonnet","Neither"))))</f>
        <v/>
      </c>
    </row>
    <row r="12">
      <c r="A12" t="inlineStr">
        <is>
          <t>R006</t>
        </is>
      </c>
      <c r="B12" t="inlineStr">
        <is>
          <t>Q3</t>
        </is>
      </c>
      <c r="C12" t="inlineStr">
        <is>
          <t>Yes</t>
        </is>
      </c>
      <c r="D12" t="inlineStr">
        <is>
          <t>Yes</t>
        </is>
      </c>
      <c r="E12">
        <f>VLOOKUP(C12,CategoryMap,2,0)</f>
        <v/>
      </c>
      <c r="F12">
        <f>VLOOKUP(D12,CategoryMap,2,0)</f>
        <v/>
      </c>
      <c r="G12">
        <f>ABS(E12-F12)</f>
        <v/>
      </c>
      <c r="H12">
        <f>IF(G12=0,"Yes","No")</f>
        <v/>
      </c>
      <c r="I12" t="inlineStr">
        <is>
          <t>Yes</t>
        </is>
      </c>
      <c r="J12">
        <f>IF(I12="","",IF(AND(I12=C12,I12=D12),"Both",IF(I12=C12,"Opus",IF(I12=D12,"Sonnet","Neither"))))</f>
        <v/>
      </c>
    </row>
    <row r="13">
      <c r="A13" t="inlineStr">
        <is>
          <t>R006</t>
        </is>
      </c>
      <c r="B13" t="inlineStr">
        <is>
          <t>Q4</t>
        </is>
      </c>
      <c r="C13" t="inlineStr">
        <is>
          <t>Partial</t>
        </is>
      </c>
      <c r="D13" t="inlineStr">
        <is>
          <t>Yes</t>
        </is>
      </c>
      <c r="E13">
        <f>VLOOKUP(C13,CategoryMap,2,0)</f>
        <v/>
      </c>
      <c r="F13">
        <f>VLOOKUP(D13,CategoryMap,2,0)</f>
        <v/>
      </c>
      <c r="G13">
        <f>ABS(E13-F13)</f>
        <v/>
      </c>
      <c r="H13">
        <f>IF(G13=0,"Yes","No")</f>
        <v/>
      </c>
      <c r="I13" t="inlineStr">
        <is>
          <t>Yes</t>
        </is>
      </c>
      <c r="J13">
        <f>IF(I13="","",IF(AND(I13=C13,I13=D13),"Both",IF(I13=C13,"Opus",IF(I13=D13,"Sonnet","Neither"))))</f>
        <v/>
      </c>
    </row>
    <row r="14">
      <c r="A14" t="inlineStr">
        <is>
          <t>R006</t>
        </is>
      </c>
      <c r="B14" t="inlineStr">
        <is>
          <t>Q5</t>
        </is>
      </c>
      <c r="C14" t="inlineStr">
        <is>
          <t>Yes</t>
        </is>
      </c>
      <c r="D14" t="inlineStr">
        <is>
          <t>Yes</t>
        </is>
      </c>
      <c r="E14">
        <f>VLOOKUP(C14,CategoryMap,2,0)</f>
        <v/>
      </c>
      <c r="F14">
        <f>VLOOKUP(D14,CategoryMap,2,0)</f>
        <v/>
      </c>
      <c r="G14">
        <f>ABS(E14-F14)</f>
        <v/>
      </c>
      <c r="H14">
        <f>IF(G14=0,"Yes","No")</f>
        <v/>
      </c>
      <c r="I14" t="inlineStr">
        <is>
          <t>Yes</t>
        </is>
      </c>
      <c r="J14">
        <f>IF(I14="","",IF(AND(I14=C14,I14=D14),"Both",IF(I14=C14,"Opus",IF(I14=D14,"Sonnet","Neither"))))</f>
        <v/>
      </c>
    </row>
    <row r="15">
      <c r="A15" t="inlineStr">
        <is>
          <t>R006</t>
        </is>
      </c>
      <c r="B15" t="inlineStr">
        <is>
          <t>Q6</t>
        </is>
      </c>
      <c r="C15" t="inlineStr">
        <is>
          <t>Partial</t>
        </is>
      </c>
      <c r="D15" t="inlineStr">
        <is>
          <t>Partial</t>
        </is>
      </c>
      <c r="E15">
        <f>VLOOKUP(C15,CategoryMap,2,0)</f>
        <v/>
      </c>
      <c r="F15">
        <f>VLOOKUP(D15,CategoryMap,2,0)</f>
        <v/>
      </c>
      <c r="G15">
        <f>ABS(E15-F15)</f>
        <v/>
      </c>
      <c r="H15">
        <f>IF(G15=0,"Yes","No")</f>
        <v/>
      </c>
      <c r="I15" t="inlineStr">
        <is>
          <t>Yes</t>
        </is>
      </c>
      <c r="J15">
        <f>IF(I15="","",IF(AND(I15=C15,I15=D15),"Both",IF(I15=C15,"Opus",IF(I15=D15,"Sonnet","Neither"))))</f>
        <v/>
      </c>
    </row>
    <row r="16">
      <c r="A16" t="inlineStr">
        <is>
          <t>R006</t>
        </is>
      </c>
      <c r="B16" t="inlineStr">
        <is>
          <t>Q7</t>
        </is>
      </c>
      <c r="C16" t="inlineStr">
        <is>
          <t>Partial</t>
        </is>
      </c>
      <c r="D16" t="inlineStr">
        <is>
          <t>Yes</t>
        </is>
      </c>
      <c r="E16">
        <f>VLOOKUP(C16,CategoryMap,2,0)</f>
        <v/>
      </c>
      <c r="F16">
        <f>VLOOKUP(D16,CategoryMap,2,0)</f>
        <v/>
      </c>
      <c r="G16">
        <f>ABS(E16-F16)</f>
        <v/>
      </c>
      <c r="H16">
        <f>IF(G16=0,"Yes","No")</f>
        <v/>
      </c>
      <c r="I16" t="inlineStr">
        <is>
          <t>Yes</t>
        </is>
      </c>
      <c r="J16">
        <f>IF(I16="","",IF(AND(I16=C16,I16=D16),"Both",IF(I16=C16,"Opus",IF(I16=D16,"Sonnet","Neither"))))</f>
        <v/>
      </c>
    </row>
    <row r="17">
      <c r="A17" t="inlineStr">
        <is>
          <t>R006</t>
        </is>
      </c>
      <c r="B17" t="inlineStr">
        <is>
          <t>Q8</t>
        </is>
      </c>
      <c r="C17" t="inlineStr">
        <is>
          <t>Yes</t>
        </is>
      </c>
      <c r="D17" t="inlineStr">
        <is>
          <t>Yes</t>
        </is>
      </c>
      <c r="E17">
        <f>VLOOKUP(C17,CategoryMap,2,0)</f>
        <v/>
      </c>
      <c r="F17">
        <f>VLOOKUP(D17,CategoryMap,2,0)</f>
        <v/>
      </c>
      <c r="G17">
        <f>ABS(E17-F17)</f>
        <v/>
      </c>
      <c r="H17">
        <f>IF(G17=0,"Yes","No")</f>
        <v/>
      </c>
      <c r="I17" t="inlineStr">
        <is>
          <t>Yes</t>
        </is>
      </c>
      <c r="J17">
        <f>IF(I17="","",IF(AND(I17=C17,I17=D17),"Both",IF(I17=C17,"Opus",IF(I17=D17,"Sonnet","Neither"))))</f>
        <v/>
      </c>
    </row>
    <row r="18">
      <c r="A18" t="inlineStr">
        <is>
          <t>R011</t>
        </is>
      </c>
      <c r="B18" t="inlineStr">
        <is>
          <t>Q1</t>
        </is>
      </c>
      <c r="C18" t="inlineStr">
        <is>
          <t>Yes</t>
        </is>
      </c>
      <c r="D18" t="inlineStr">
        <is>
          <t>Yes</t>
        </is>
      </c>
      <c r="E18">
        <f>VLOOKUP(C18,CategoryMap,2,0)</f>
        <v/>
      </c>
      <c r="F18">
        <f>VLOOKUP(D18,CategoryMap,2,0)</f>
        <v/>
      </c>
      <c r="G18">
        <f>ABS(E18-F18)</f>
        <v/>
      </c>
      <c r="H18">
        <f>IF(G18=0,"Yes","No")</f>
        <v/>
      </c>
      <c r="I18" t="inlineStr">
        <is>
          <t>Yes</t>
        </is>
      </c>
      <c r="J18">
        <f>IF(I18="","",IF(AND(I18=C18,I18=D18),"Both",IF(I18=C18,"Opus",IF(I18=D18,"Sonnet","Neither"))))</f>
        <v/>
      </c>
    </row>
    <row r="19">
      <c r="A19" t="inlineStr">
        <is>
          <t>R011</t>
        </is>
      </c>
      <c r="B19" t="inlineStr">
        <is>
          <t>Q2</t>
        </is>
      </c>
      <c r="C19" t="inlineStr">
        <is>
          <t>Yes</t>
        </is>
      </c>
      <c r="D19" t="inlineStr">
        <is>
          <t>Yes</t>
        </is>
      </c>
      <c r="E19">
        <f>VLOOKUP(C19,CategoryMap,2,0)</f>
        <v/>
      </c>
      <c r="F19">
        <f>VLOOKUP(D19,CategoryMap,2,0)</f>
        <v/>
      </c>
      <c r="G19">
        <f>ABS(E19-F19)</f>
        <v/>
      </c>
      <c r="H19">
        <f>IF(G19=0,"Yes","No")</f>
        <v/>
      </c>
      <c r="I19" t="inlineStr">
        <is>
          <t>Yes</t>
        </is>
      </c>
      <c r="J19">
        <f>IF(I19="","",IF(AND(I19=C19,I19=D19),"Both",IF(I19=C19,"Opus",IF(I19=D19,"Sonnet","Neither"))))</f>
        <v/>
      </c>
    </row>
    <row r="20">
      <c r="A20" t="inlineStr">
        <is>
          <t>R011</t>
        </is>
      </c>
      <c r="B20" t="inlineStr">
        <is>
          <t>Q3</t>
        </is>
      </c>
      <c r="C20" t="inlineStr">
        <is>
          <t>Yes</t>
        </is>
      </c>
      <c r="D20" t="inlineStr">
        <is>
          <t>Yes</t>
        </is>
      </c>
      <c r="E20">
        <f>VLOOKUP(C20,CategoryMap,2,0)</f>
        <v/>
      </c>
      <c r="F20">
        <f>VLOOKUP(D20,CategoryMap,2,0)</f>
        <v/>
      </c>
      <c r="G20">
        <f>ABS(E20-F20)</f>
        <v/>
      </c>
      <c r="H20">
        <f>IF(G20=0,"Yes","No")</f>
        <v/>
      </c>
      <c r="I20" t="inlineStr">
        <is>
          <t>Yes</t>
        </is>
      </c>
      <c r="J20">
        <f>IF(I20="","",IF(AND(I20=C20,I20=D20),"Both",IF(I20=C20,"Opus",IF(I20=D20,"Sonnet","Neither"))))</f>
        <v/>
      </c>
    </row>
    <row r="21">
      <c r="A21" t="inlineStr">
        <is>
          <t>R011</t>
        </is>
      </c>
      <c r="B21" t="inlineStr">
        <is>
          <t>Q4</t>
        </is>
      </c>
      <c r="C21" t="inlineStr">
        <is>
          <t>Partial</t>
        </is>
      </c>
      <c r="D21" t="inlineStr">
        <is>
          <t>Partial</t>
        </is>
      </c>
      <c r="E21">
        <f>VLOOKUP(C21,CategoryMap,2,0)</f>
        <v/>
      </c>
      <c r="F21">
        <f>VLOOKUP(D21,CategoryMap,2,0)</f>
        <v/>
      </c>
      <c r="G21">
        <f>ABS(E21-F21)</f>
        <v/>
      </c>
      <c r="H21">
        <f>IF(G21=0,"Yes","No")</f>
        <v/>
      </c>
      <c r="I21" t="inlineStr">
        <is>
          <t>Partial</t>
        </is>
      </c>
      <c r="J21">
        <f>IF(I21="","",IF(AND(I21=C21,I21=D21),"Both",IF(I21=C21,"Opus",IF(I21=D21,"Sonnet","Neither"))))</f>
        <v/>
      </c>
    </row>
    <row r="22">
      <c r="A22" t="inlineStr">
        <is>
          <t>R011</t>
        </is>
      </c>
      <c r="B22" t="inlineStr">
        <is>
          <t>Q5</t>
        </is>
      </c>
      <c r="C22" t="inlineStr">
        <is>
          <t>Yes</t>
        </is>
      </c>
      <c r="D22" t="inlineStr">
        <is>
          <t>Partial</t>
        </is>
      </c>
      <c r="E22">
        <f>VLOOKUP(C22,CategoryMap,2,0)</f>
        <v/>
      </c>
      <c r="F22">
        <f>VLOOKUP(D22,CategoryMap,2,0)</f>
        <v/>
      </c>
      <c r="G22">
        <f>ABS(E22-F22)</f>
        <v/>
      </c>
      <c r="H22">
        <f>IF(G22=0,"Yes","No")</f>
        <v/>
      </c>
      <c r="I22" t="inlineStr">
        <is>
          <t>Yes</t>
        </is>
      </c>
      <c r="J22">
        <f>IF(I22="","",IF(AND(I22=C22,I22=D22),"Both",IF(I22=C22,"Opus",IF(I22=D22,"Sonnet","Neither"))))</f>
        <v/>
      </c>
    </row>
    <row r="23">
      <c r="A23" t="inlineStr">
        <is>
          <t>R011</t>
        </is>
      </c>
      <c r="B23" t="inlineStr">
        <is>
          <t>Q6</t>
        </is>
      </c>
      <c r="C23" t="inlineStr">
        <is>
          <t>Partial</t>
        </is>
      </c>
      <c r="D23" t="inlineStr">
        <is>
          <t>No</t>
        </is>
      </c>
      <c r="E23">
        <f>VLOOKUP(C23,CategoryMap,2,0)</f>
        <v/>
      </c>
      <c r="F23">
        <f>VLOOKUP(D23,CategoryMap,2,0)</f>
        <v/>
      </c>
      <c r="G23">
        <f>ABS(E23-F23)</f>
        <v/>
      </c>
      <c r="H23">
        <f>IF(G23=0,"Yes","No")</f>
        <v/>
      </c>
      <c r="I23" t="inlineStr">
        <is>
          <t>No</t>
        </is>
      </c>
      <c r="J23">
        <f>IF(I23="","",IF(AND(I23=C23,I23=D23),"Both",IF(I23=C23,"Opus",IF(I23=D23,"Sonnet","Neither"))))</f>
        <v/>
      </c>
    </row>
    <row r="24">
      <c r="A24" t="inlineStr">
        <is>
          <t>R011</t>
        </is>
      </c>
      <c r="B24" t="inlineStr">
        <is>
          <t>Q7</t>
        </is>
      </c>
      <c r="C24" t="inlineStr">
        <is>
          <t>Yes</t>
        </is>
      </c>
      <c r="D24" t="inlineStr">
        <is>
          <t>Yes</t>
        </is>
      </c>
      <c r="E24">
        <f>VLOOKUP(C24,CategoryMap,2,0)</f>
        <v/>
      </c>
      <c r="F24">
        <f>VLOOKUP(D24,CategoryMap,2,0)</f>
        <v/>
      </c>
      <c r="G24">
        <f>ABS(E24-F24)</f>
        <v/>
      </c>
      <c r="H24">
        <f>IF(G24=0,"Yes","No")</f>
        <v/>
      </c>
      <c r="I24" t="inlineStr">
        <is>
          <t>Yes</t>
        </is>
      </c>
      <c r="J24">
        <f>IF(I24="","",IF(AND(I24=C24,I24=D24),"Both",IF(I24=C24,"Opus",IF(I24=D24,"Sonnet","Neither"))))</f>
        <v/>
      </c>
    </row>
    <row r="25">
      <c r="A25" t="inlineStr">
        <is>
          <t>R011</t>
        </is>
      </c>
      <c r="B25" t="inlineStr">
        <is>
          <t>Q8</t>
        </is>
      </c>
      <c r="C25" t="inlineStr">
        <is>
          <t>Partial</t>
        </is>
      </c>
      <c r="D25" t="inlineStr">
        <is>
          <t>Partial</t>
        </is>
      </c>
      <c r="E25">
        <f>VLOOKUP(C25,CategoryMap,2,0)</f>
        <v/>
      </c>
      <c r="F25">
        <f>VLOOKUP(D25,CategoryMap,2,0)</f>
        <v/>
      </c>
      <c r="G25">
        <f>ABS(E25-F25)</f>
        <v/>
      </c>
      <c r="H25">
        <f>IF(G25=0,"Yes","No")</f>
        <v/>
      </c>
      <c r="I25" t="inlineStr">
        <is>
          <t>Partial</t>
        </is>
      </c>
      <c r="J25">
        <f>IF(I25="","",IF(AND(I25=C25,I25=D25),"Both",IF(I25=C25,"Opus",IF(I25=D25,"Sonnet","Neither"))))</f>
        <v/>
      </c>
    </row>
    <row r="26">
      <c r="A26" t="inlineStr">
        <is>
          <t>R012</t>
        </is>
      </c>
      <c r="B26" t="inlineStr">
        <is>
          <t>Q1</t>
        </is>
      </c>
      <c r="C26" t="inlineStr">
        <is>
          <t>Partial</t>
        </is>
      </c>
      <c r="D26" t="inlineStr">
        <is>
          <t>Partial</t>
        </is>
      </c>
      <c r="E26">
        <f>VLOOKUP(C26,CategoryMap,2,0)</f>
        <v/>
      </c>
      <c r="F26">
        <f>VLOOKUP(D26,CategoryMap,2,0)</f>
        <v/>
      </c>
      <c r="G26">
        <f>ABS(E26-F26)</f>
        <v/>
      </c>
      <c r="H26">
        <f>IF(G26=0,"Yes","No")</f>
        <v/>
      </c>
      <c r="I26" t="inlineStr">
        <is>
          <t>Partial</t>
        </is>
      </c>
      <c r="J26">
        <f>IF(I26="","",IF(AND(I26=C26,I26=D26),"Both",IF(I26=C26,"Opus",IF(I26=D26,"Sonnet","Neither"))))</f>
        <v/>
      </c>
    </row>
    <row r="27">
      <c r="A27" t="inlineStr">
        <is>
          <t>R012</t>
        </is>
      </c>
      <c r="B27" t="inlineStr">
        <is>
          <t>Q2</t>
        </is>
      </c>
      <c r="C27" t="inlineStr">
        <is>
          <t>Yes</t>
        </is>
      </c>
      <c r="D27" t="inlineStr">
        <is>
          <t>Yes</t>
        </is>
      </c>
      <c r="E27">
        <f>VLOOKUP(C27,CategoryMap,2,0)</f>
        <v/>
      </c>
      <c r="F27">
        <f>VLOOKUP(D27,CategoryMap,2,0)</f>
        <v/>
      </c>
      <c r="G27">
        <f>ABS(E27-F27)</f>
        <v/>
      </c>
      <c r="H27">
        <f>IF(G27=0,"Yes","No")</f>
        <v/>
      </c>
      <c r="I27" t="inlineStr">
        <is>
          <t>Yes</t>
        </is>
      </c>
      <c r="J27">
        <f>IF(I27="","",IF(AND(I27=C27,I27=D27),"Both",IF(I27=C27,"Opus",IF(I27=D27,"Sonnet","Neither"))))</f>
        <v/>
      </c>
    </row>
    <row r="28">
      <c r="A28" t="inlineStr">
        <is>
          <t>R012</t>
        </is>
      </c>
      <c r="B28" t="inlineStr">
        <is>
          <t>Q3</t>
        </is>
      </c>
      <c r="C28" t="inlineStr">
        <is>
          <t>Partial</t>
        </is>
      </c>
      <c r="D28" t="inlineStr">
        <is>
          <t>Partial</t>
        </is>
      </c>
      <c r="E28">
        <f>VLOOKUP(C28,CategoryMap,2,0)</f>
        <v/>
      </c>
      <c r="F28">
        <f>VLOOKUP(D28,CategoryMap,2,0)</f>
        <v/>
      </c>
      <c r="G28">
        <f>ABS(E28-F28)</f>
        <v/>
      </c>
      <c r="H28">
        <f>IF(G28=0,"Yes","No")</f>
        <v/>
      </c>
      <c r="I28" t="inlineStr">
        <is>
          <t>Partial</t>
        </is>
      </c>
      <c r="J28">
        <f>IF(I28="","",IF(AND(I28=C28,I28=D28),"Both",IF(I28=C28,"Opus",IF(I28=D28,"Sonnet","Neither"))))</f>
        <v/>
      </c>
    </row>
    <row r="29">
      <c r="A29" t="inlineStr">
        <is>
          <t>R012</t>
        </is>
      </c>
      <c r="B29" t="inlineStr">
        <is>
          <t>Q4</t>
        </is>
      </c>
      <c r="C29" t="inlineStr">
        <is>
          <t>Yes</t>
        </is>
      </c>
      <c r="D29" t="inlineStr">
        <is>
          <t>Yes</t>
        </is>
      </c>
      <c r="E29">
        <f>VLOOKUP(C29,CategoryMap,2,0)</f>
        <v/>
      </c>
      <c r="F29">
        <f>VLOOKUP(D29,CategoryMap,2,0)</f>
        <v/>
      </c>
      <c r="G29">
        <f>ABS(E29-F29)</f>
        <v/>
      </c>
      <c r="H29">
        <f>IF(G29=0,"Yes","No")</f>
        <v/>
      </c>
      <c r="I29" t="inlineStr">
        <is>
          <t>Yes</t>
        </is>
      </c>
      <c r="J29">
        <f>IF(I29="","",IF(AND(I29=C29,I29=D29),"Both",IF(I29=C29,"Opus",IF(I29=D29,"Sonnet","Neither"))))</f>
        <v/>
      </c>
    </row>
    <row r="30">
      <c r="A30" t="inlineStr">
        <is>
          <t>R012</t>
        </is>
      </c>
      <c r="B30" t="inlineStr">
        <is>
          <t>Q5</t>
        </is>
      </c>
      <c r="C30" t="inlineStr">
        <is>
          <t>Yes</t>
        </is>
      </c>
      <c r="D30" t="inlineStr">
        <is>
          <t>Yes</t>
        </is>
      </c>
      <c r="E30">
        <f>VLOOKUP(C30,CategoryMap,2,0)</f>
        <v/>
      </c>
      <c r="F30">
        <f>VLOOKUP(D30,CategoryMap,2,0)</f>
        <v/>
      </c>
      <c r="G30">
        <f>ABS(E30-F30)</f>
        <v/>
      </c>
      <c r="H30">
        <f>IF(G30=0,"Yes","No")</f>
        <v/>
      </c>
      <c r="I30" t="inlineStr">
        <is>
          <t>Yes</t>
        </is>
      </c>
      <c r="J30">
        <f>IF(I30="","",IF(AND(I30=C30,I30=D30),"Both",IF(I30=C30,"Opus",IF(I30=D30,"Sonnet","Neither"))))</f>
        <v/>
      </c>
    </row>
    <row r="31">
      <c r="A31" t="inlineStr">
        <is>
          <t>R012</t>
        </is>
      </c>
      <c r="B31" t="inlineStr">
        <is>
          <t>Q6</t>
        </is>
      </c>
      <c r="C31" t="inlineStr">
        <is>
          <t>Yes</t>
        </is>
      </c>
      <c r="D31" t="inlineStr">
        <is>
          <t>Yes</t>
        </is>
      </c>
      <c r="E31">
        <f>VLOOKUP(C31,CategoryMap,2,0)</f>
        <v/>
      </c>
      <c r="F31">
        <f>VLOOKUP(D31,CategoryMap,2,0)</f>
        <v/>
      </c>
      <c r="G31">
        <f>ABS(E31-F31)</f>
        <v/>
      </c>
      <c r="H31">
        <f>IF(G31=0,"Yes","No")</f>
        <v/>
      </c>
      <c r="I31" t="inlineStr">
        <is>
          <t>Yes</t>
        </is>
      </c>
      <c r="J31">
        <f>IF(I31="","",IF(AND(I31=C31,I31=D31),"Both",IF(I31=C31,"Opus",IF(I31=D31,"Sonnet","Neither"))))</f>
        <v/>
      </c>
    </row>
    <row r="32">
      <c r="A32" t="inlineStr">
        <is>
          <t>R012</t>
        </is>
      </c>
      <c r="B32" t="inlineStr">
        <is>
          <t>Q7</t>
        </is>
      </c>
      <c r="C32" t="inlineStr">
        <is>
          <t>Yes</t>
        </is>
      </c>
      <c r="D32" t="inlineStr">
        <is>
          <t>Yes</t>
        </is>
      </c>
      <c r="E32">
        <f>VLOOKUP(C32,CategoryMap,2,0)</f>
        <v/>
      </c>
      <c r="F32">
        <f>VLOOKUP(D32,CategoryMap,2,0)</f>
        <v/>
      </c>
      <c r="G32">
        <f>ABS(E32-F32)</f>
        <v/>
      </c>
      <c r="H32">
        <f>IF(G32=0,"Yes","No")</f>
        <v/>
      </c>
      <c r="I32" t="inlineStr">
        <is>
          <t>Yes</t>
        </is>
      </c>
      <c r="J32">
        <f>IF(I32="","",IF(AND(I32=C32,I32=D32),"Both",IF(I32=C32,"Opus",IF(I32=D32,"Sonnet","Neither"))))</f>
        <v/>
      </c>
    </row>
    <row r="33">
      <c r="A33" t="inlineStr">
        <is>
          <t>R012</t>
        </is>
      </c>
      <c r="B33" t="inlineStr">
        <is>
          <t>Q8</t>
        </is>
      </c>
      <c r="C33" t="inlineStr">
        <is>
          <t>Partial</t>
        </is>
      </c>
      <c r="D33" t="inlineStr">
        <is>
          <t>No</t>
        </is>
      </c>
      <c r="E33">
        <f>VLOOKUP(C33,CategoryMap,2,0)</f>
        <v/>
      </c>
      <c r="F33">
        <f>VLOOKUP(D33,CategoryMap,2,0)</f>
        <v/>
      </c>
      <c r="G33">
        <f>ABS(E33-F33)</f>
        <v/>
      </c>
      <c r="H33">
        <f>IF(G33=0,"Yes","No")</f>
        <v/>
      </c>
      <c r="I33" t="inlineStr">
        <is>
          <t>No</t>
        </is>
      </c>
      <c r="J33">
        <f>IF(I33="","",IF(AND(I33=C33,I33=D33),"Both",IF(I33=C33,"Opus",IF(I33=D33,"Sonnet","Neither"))))</f>
        <v/>
      </c>
    </row>
    <row r="34">
      <c r="A34" t="inlineStr">
        <is>
          <t>R013</t>
        </is>
      </c>
      <c r="B34" t="inlineStr">
        <is>
          <t>Q1</t>
        </is>
      </c>
      <c r="C34" t="inlineStr">
        <is>
          <t>Partial</t>
        </is>
      </c>
      <c r="D34" t="inlineStr">
        <is>
          <t>Partial</t>
        </is>
      </c>
      <c r="E34">
        <f>VLOOKUP(C34,CategoryMap,2,0)</f>
        <v/>
      </c>
      <c r="F34">
        <f>VLOOKUP(D34,CategoryMap,2,0)</f>
        <v/>
      </c>
      <c r="G34">
        <f>ABS(E34-F34)</f>
        <v/>
      </c>
      <c r="H34">
        <f>IF(G34=0,"Yes","No")</f>
        <v/>
      </c>
      <c r="I34" t="inlineStr">
        <is>
          <t>Partial</t>
        </is>
      </c>
      <c r="J34">
        <f>IF(I34="","",IF(AND(I34=C34,I34=D34),"Both",IF(I34=C34,"Opus",IF(I34=D34,"Sonnet","Neither"))))</f>
        <v/>
      </c>
    </row>
    <row r="35">
      <c r="A35" t="inlineStr">
        <is>
          <t>R013</t>
        </is>
      </c>
      <c r="B35" t="inlineStr">
        <is>
          <t>Q2</t>
        </is>
      </c>
      <c r="C35" t="inlineStr">
        <is>
          <t>Yes</t>
        </is>
      </c>
      <c r="D35" t="inlineStr">
        <is>
          <t>Yes</t>
        </is>
      </c>
      <c r="E35">
        <f>VLOOKUP(C35,CategoryMap,2,0)</f>
        <v/>
      </c>
      <c r="F35">
        <f>VLOOKUP(D35,CategoryMap,2,0)</f>
        <v/>
      </c>
      <c r="G35">
        <f>ABS(E35-F35)</f>
        <v/>
      </c>
      <c r="H35">
        <f>IF(G35=0,"Yes","No")</f>
        <v/>
      </c>
      <c r="I35" t="inlineStr">
        <is>
          <t>Yes</t>
        </is>
      </c>
      <c r="J35">
        <f>IF(I35="","",IF(AND(I35=C35,I35=D35),"Both",IF(I35=C35,"Opus",IF(I35=D35,"Sonnet","Neither"))))</f>
        <v/>
      </c>
    </row>
    <row r="36">
      <c r="A36" t="inlineStr">
        <is>
          <t>R013</t>
        </is>
      </c>
      <c r="B36" t="inlineStr">
        <is>
          <t>Q3</t>
        </is>
      </c>
      <c r="C36" t="inlineStr">
        <is>
          <t>Yes</t>
        </is>
      </c>
      <c r="D36" t="inlineStr">
        <is>
          <t>Yes</t>
        </is>
      </c>
      <c r="E36">
        <f>VLOOKUP(C36,CategoryMap,2,0)</f>
        <v/>
      </c>
      <c r="F36">
        <f>VLOOKUP(D36,CategoryMap,2,0)</f>
        <v/>
      </c>
      <c r="G36">
        <f>ABS(E36-F36)</f>
        <v/>
      </c>
      <c r="H36">
        <f>IF(G36=0,"Yes","No")</f>
        <v/>
      </c>
      <c r="I36" t="inlineStr">
        <is>
          <t>Yes</t>
        </is>
      </c>
      <c r="J36">
        <f>IF(I36="","",IF(AND(I36=C36,I36=D36),"Both",IF(I36=C36,"Opus",IF(I36=D36,"Sonnet","Neither"))))</f>
        <v/>
      </c>
    </row>
    <row r="37">
      <c r="A37" t="inlineStr">
        <is>
          <t>R013</t>
        </is>
      </c>
      <c r="B37" t="inlineStr">
        <is>
          <t>Q4</t>
        </is>
      </c>
      <c r="C37" t="inlineStr">
        <is>
          <t>Partial</t>
        </is>
      </c>
      <c r="D37" t="inlineStr">
        <is>
          <t>Yes</t>
        </is>
      </c>
      <c r="E37">
        <f>VLOOKUP(C37,CategoryMap,2,0)</f>
        <v/>
      </c>
      <c r="F37">
        <f>VLOOKUP(D37,CategoryMap,2,0)</f>
        <v/>
      </c>
      <c r="G37">
        <f>ABS(E37-F37)</f>
        <v/>
      </c>
      <c r="H37">
        <f>IF(G37=0,"Yes","No")</f>
        <v/>
      </c>
      <c r="I37" t="inlineStr">
        <is>
          <t>Partial</t>
        </is>
      </c>
      <c r="J37">
        <f>IF(I37="","",IF(AND(I37=C37,I37=D37),"Both",IF(I37=C37,"Opus",IF(I37=D37,"Sonnet","Neither"))))</f>
        <v/>
      </c>
    </row>
    <row r="38">
      <c r="A38" t="inlineStr">
        <is>
          <t>R013</t>
        </is>
      </c>
      <c r="B38" t="inlineStr">
        <is>
          <t>Q5</t>
        </is>
      </c>
      <c r="C38" t="inlineStr">
        <is>
          <t>Yes</t>
        </is>
      </c>
      <c r="D38" t="inlineStr">
        <is>
          <t>Yes</t>
        </is>
      </c>
      <c r="E38">
        <f>VLOOKUP(C38,CategoryMap,2,0)</f>
        <v/>
      </c>
      <c r="F38">
        <f>VLOOKUP(D38,CategoryMap,2,0)</f>
        <v/>
      </c>
      <c r="G38">
        <f>ABS(E38-F38)</f>
        <v/>
      </c>
      <c r="H38">
        <f>IF(G38=0,"Yes","No")</f>
        <v/>
      </c>
      <c r="I38" t="inlineStr">
        <is>
          <t>Yes</t>
        </is>
      </c>
      <c r="J38">
        <f>IF(I38="","",IF(AND(I38=C38,I38=D38),"Both",IF(I38=C38,"Opus",IF(I38=D38,"Sonnet","Neither"))))</f>
        <v/>
      </c>
    </row>
    <row r="39">
      <c r="A39" t="inlineStr">
        <is>
          <t>R013</t>
        </is>
      </c>
      <c r="B39" t="inlineStr">
        <is>
          <t>Q6</t>
        </is>
      </c>
      <c r="C39" t="inlineStr">
        <is>
          <t>Yes</t>
        </is>
      </c>
      <c r="D39" t="inlineStr">
        <is>
          <t>Yes</t>
        </is>
      </c>
      <c r="E39">
        <f>VLOOKUP(C39,CategoryMap,2,0)</f>
        <v/>
      </c>
      <c r="F39">
        <f>VLOOKUP(D39,CategoryMap,2,0)</f>
        <v/>
      </c>
      <c r="G39">
        <f>ABS(E39-F39)</f>
        <v/>
      </c>
      <c r="H39">
        <f>IF(G39=0,"Yes","No")</f>
        <v/>
      </c>
      <c r="I39" t="inlineStr">
        <is>
          <t>Yes</t>
        </is>
      </c>
      <c r="J39">
        <f>IF(I39="","",IF(AND(I39=C39,I39=D39),"Both",IF(I39=C39,"Opus",IF(I39=D39,"Sonnet","Neither"))))</f>
        <v/>
      </c>
    </row>
    <row r="40">
      <c r="A40" t="inlineStr">
        <is>
          <t>R013</t>
        </is>
      </c>
      <c r="B40" t="inlineStr">
        <is>
          <t>Q7</t>
        </is>
      </c>
      <c r="C40" t="inlineStr">
        <is>
          <t>Yes</t>
        </is>
      </c>
      <c r="D40" t="inlineStr">
        <is>
          <t>Yes</t>
        </is>
      </c>
      <c r="E40">
        <f>VLOOKUP(C40,CategoryMap,2,0)</f>
        <v/>
      </c>
      <c r="F40">
        <f>VLOOKUP(D40,CategoryMap,2,0)</f>
        <v/>
      </c>
      <c r="G40">
        <f>ABS(E40-F40)</f>
        <v/>
      </c>
      <c r="H40">
        <f>IF(G40=0,"Yes","No")</f>
        <v/>
      </c>
      <c r="I40" t="inlineStr">
        <is>
          <t>Yes</t>
        </is>
      </c>
      <c r="J40">
        <f>IF(I40="","",IF(AND(I40=C40,I40=D40),"Both",IF(I40=C40,"Opus",IF(I40=D40,"Sonnet","Neither"))))</f>
        <v/>
      </c>
    </row>
    <row r="41">
      <c r="A41" t="inlineStr">
        <is>
          <t>R013</t>
        </is>
      </c>
      <c r="B41" t="inlineStr">
        <is>
          <t>Q8</t>
        </is>
      </c>
      <c r="C41" t="inlineStr">
        <is>
          <t>Partial</t>
        </is>
      </c>
      <c r="D41" t="inlineStr">
        <is>
          <t>Partial</t>
        </is>
      </c>
      <c r="E41">
        <f>VLOOKUP(C41,CategoryMap,2,0)</f>
        <v/>
      </c>
      <c r="F41">
        <f>VLOOKUP(D41,CategoryMap,2,0)</f>
        <v/>
      </c>
      <c r="G41">
        <f>ABS(E41-F41)</f>
        <v/>
      </c>
      <c r="H41">
        <f>IF(G41=0,"Yes","No")</f>
        <v/>
      </c>
      <c r="I41" t="inlineStr">
        <is>
          <t>No</t>
        </is>
      </c>
      <c r="J41">
        <f>IF(I41="","",IF(AND(I41=C41,I41=D41),"Both",IF(I41=C41,"Opus",IF(I41=D41,"Sonnet","Neither"))))</f>
        <v/>
      </c>
    </row>
    <row r="42">
      <c r="A42" t="inlineStr">
        <is>
          <t>R017</t>
        </is>
      </c>
      <c r="B42" t="inlineStr">
        <is>
          <t>Q1</t>
        </is>
      </c>
      <c r="C42" t="inlineStr">
        <is>
          <t>Yes</t>
        </is>
      </c>
      <c r="D42" t="inlineStr">
        <is>
          <t>Yes</t>
        </is>
      </c>
      <c r="E42">
        <f>VLOOKUP(C42,CategoryMap,2,0)</f>
        <v/>
      </c>
      <c r="F42">
        <f>VLOOKUP(D42,CategoryMap,2,0)</f>
        <v/>
      </c>
      <c r="G42">
        <f>ABS(E42-F42)</f>
        <v/>
      </c>
      <c r="H42">
        <f>IF(G42=0,"Yes","No")</f>
        <v/>
      </c>
      <c r="I42" t="inlineStr">
        <is>
          <t>Yes</t>
        </is>
      </c>
      <c r="J42">
        <f>IF(I42="","",IF(AND(I42=C42,I42=D42),"Both",IF(I42=C42,"Opus",IF(I42=D42,"Sonnet","Neither"))))</f>
        <v/>
      </c>
    </row>
    <row r="43">
      <c r="A43" t="inlineStr">
        <is>
          <t>R017</t>
        </is>
      </c>
      <c r="B43" t="inlineStr">
        <is>
          <t>Q2</t>
        </is>
      </c>
      <c r="C43" t="inlineStr">
        <is>
          <t>Yes</t>
        </is>
      </c>
      <c r="D43" t="inlineStr">
        <is>
          <t>Yes</t>
        </is>
      </c>
      <c r="E43">
        <f>VLOOKUP(C43,CategoryMap,2,0)</f>
        <v/>
      </c>
      <c r="F43">
        <f>VLOOKUP(D43,CategoryMap,2,0)</f>
        <v/>
      </c>
      <c r="G43">
        <f>ABS(E43-F43)</f>
        <v/>
      </c>
      <c r="H43">
        <f>IF(G43=0,"Yes","No")</f>
        <v/>
      </c>
      <c r="I43" t="inlineStr">
        <is>
          <t>Yes</t>
        </is>
      </c>
      <c r="J43">
        <f>IF(I43="","",IF(AND(I43=C43,I43=D43),"Both",IF(I43=C43,"Opus",IF(I43=D43,"Sonnet","Neither"))))</f>
        <v/>
      </c>
    </row>
    <row r="44">
      <c r="A44" t="inlineStr">
        <is>
          <t>R017</t>
        </is>
      </c>
      <c r="B44" t="inlineStr">
        <is>
          <t>Q3</t>
        </is>
      </c>
      <c r="C44" t="inlineStr">
        <is>
          <t>Yes</t>
        </is>
      </c>
      <c r="D44" t="inlineStr">
        <is>
          <t>Yes</t>
        </is>
      </c>
      <c r="E44">
        <f>VLOOKUP(C44,CategoryMap,2,0)</f>
        <v/>
      </c>
      <c r="F44">
        <f>VLOOKUP(D44,CategoryMap,2,0)</f>
        <v/>
      </c>
      <c r="G44">
        <f>ABS(E44-F44)</f>
        <v/>
      </c>
      <c r="H44">
        <f>IF(G44=0,"Yes","No")</f>
        <v/>
      </c>
      <c r="I44" t="inlineStr">
        <is>
          <t>Yes</t>
        </is>
      </c>
      <c r="J44">
        <f>IF(I44="","",IF(AND(I44=C44,I44=D44),"Both",IF(I44=C44,"Opus",IF(I44=D44,"Sonnet","Neither"))))</f>
        <v/>
      </c>
    </row>
    <row r="45">
      <c r="A45" t="inlineStr">
        <is>
          <t>R017</t>
        </is>
      </c>
      <c r="B45" t="inlineStr">
        <is>
          <t>Q4</t>
        </is>
      </c>
      <c r="C45" t="inlineStr">
        <is>
          <t>Partial</t>
        </is>
      </c>
      <c r="D45" t="inlineStr">
        <is>
          <t>Partial</t>
        </is>
      </c>
      <c r="E45">
        <f>VLOOKUP(C45,CategoryMap,2,0)</f>
        <v/>
      </c>
      <c r="F45">
        <f>VLOOKUP(D45,CategoryMap,2,0)</f>
        <v/>
      </c>
      <c r="G45">
        <f>ABS(E45-F45)</f>
        <v/>
      </c>
      <c r="H45">
        <f>IF(G45=0,"Yes","No")</f>
        <v/>
      </c>
      <c r="I45" t="inlineStr">
        <is>
          <t>Partial</t>
        </is>
      </c>
      <c r="J45">
        <f>IF(I45="","",IF(AND(I45=C45,I45=D45),"Both",IF(I45=C45,"Opus",IF(I45=D45,"Sonnet","Neither"))))</f>
        <v/>
      </c>
    </row>
    <row r="46">
      <c r="A46" t="inlineStr">
        <is>
          <t>R017</t>
        </is>
      </c>
      <c r="B46" t="inlineStr">
        <is>
          <t>Q5</t>
        </is>
      </c>
      <c r="C46" t="inlineStr">
        <is>
          <t>Yes</t>
        </is>
      </c>
      <c r="D46" t="inlineStr">
        <is>
          <t>Yes</t>
        </is>
      </c>
      <c r="E46">
        <f>VLOOKUP(C46,CategoryMap,2,0)</f>
        <v/>
      </c>
      <c r="F46">
        <f>VLOOKUP(D46,CategoryMap,2,0)</f>
        <v/>
      </c>
      <c r="G46">
        <f>ABS(E46-F46)</f>
        <v/>
      </c>
      <c r="H46">
        <f>IF(G46=0,"Yes","No")</f>
        <v/>
      </c>
      <c r="I46" t="inlineStr">
        <is>
          <t>Yes</t>
        </is>
      </c>
      <c r="J46">
        <f>IF(I46="","",IF(AND(I46=C46,I46=D46),"Both",IF(I46=C46,"Opus",IF(I46=D46,"Sonnet","Neither"))))</f>
        <v/>
      </c>
    </row>
    <row r="47">
      <c r="A47" t="inlineStr">
        <is>
          <t>R017</t>
        </is>
      </c>
      <c r="B47" t="inlineStr">
        <is>
          <t>Q6</t>
        </is>
      </c>
      <c r="C47" t="inlineStr">
        <is>
          <t>Yes</t>
        </is>
      </c>
      <c r="D47" t="inlineStr">
        <is>
          <t>Yes</t>
        </is>
      </c>
      <c r="E47">
        <f>VLOOKUP(C47,CategoryMap,2,0)</f>
        <v/>
      </c>
      <c r="F47">
        <f>VLOOKUP(D47,CategoryMap,2,0)</f>
        <v/>
      </c>
      <c r="G47">
        <f>ABS(E47-F47)</f>
        <v/>
      </c>
      <c r="H47">
        <f>IF(G47=0,"Yes","No")</f>
        <v/>
      </c>
      <c r="I47" t="inlineStr">
        <is>
          <t>Yes</t>
        </is>
      </c>
      <c r="J47">
        <f>IF(I47="","",IF(AND(I47=C47,I47=D47),"Both",IF(I47=C47,"Opus",IF(I47=D47,"Sonnet","Neither"))))</f>
        <v/>
      </c>
    </row>
    <row r="48">
      <c r="A48" t="inlineStr">
        <is>
          <t>R017</t>
        </is>
      </c>
      <c r="B48" t="inlineStr">
        <is>
          <t>Q7</t>
        </is>
      </c>
      <c r="C48" t="inlineStr">
        <is>
          <t>Yes</t>
        </is>
      </c>
      <c r="D48" t="inlineStr">
        <is>
          <t>Yes</t>
        </is>
      </c>
      <c r="E48">
        <f>VLOOKUP(C48,CategoryMap,2,0)</f>
        <v/>
      </c>
      <c r="F48">
        <f>VLOOKUP(D48,CategoryMap,2,0)</f>
        <v/>
      </c>
      <c r="G48">
        <f>ABS(E48-F48)</f>
        <v/>
      </c>
      <c r="H48">
        <f>IF(G48=0,"Yes","No")</f>
        <v/>
      </c>
      <c r="I48" t="inlineStr">
        <is>
          <t>Yes</t>
        </is>
      </c>
      <c r="J48">
        <f>IF(I48="","",IF(AND(I48=C48,I48=D48),"Both",IF(I48=C48,"Opus",IF(I48=D48,"Sonnet","Neither"))))</f>
        <v/>
      </c>
    </row>
    <row r="49">
      <c r="A49" t="inlineStr">
        <is>
          <t>R017</t>
        </is>
      </c>
      <c r="B49" t="inlineStr">
        <is>
          <t>Q8</t>
        </is>
      </c>
      <c r="C49" t="inlineStr">
        <is>
          <t>Yes</t>
        </is>
      </c>
      <c r="D49" t="inlineStr">
        <is>
          <t>Yes</t>
        </is>
      </c>
      <c r="E49">
        <f>VLOOKUP(C49,CategoryMap,2,0)</f>
        <v/>
      </c>
      <c r="F49">
        <f>VLOOKUP(D49,CategoryMap,2,0)</f>
        <v/>
      </c>
      <c r="G49">
        <f>ABS(E49-F49)</f>
        <v/>
      </c>
      <c r="H49">
        <f>IF(G49=0,"Yes","No")</f>
        <v/>
      </c>
      <c r="I49" t="inlineStr">
        <is>
          <t>Yes</t>
        </is>
      </c>
      <c r="J49">
        <f>IF(I49="","",IF(AND(I49=C49,I49=D49),"Both",IF(I49=C49,"Opus",IF(I49=D49,"Sonnet","Neither"))))</f>
        <v/>
      </c>
    </row>
    <row r="50">
      <c r="A50" t="inlineStr">
        <is>
          <t>R018</t>
        </is>
      </c>
      <c r="B50" t="inlineStr">
        <is>
          <t>Q1</t>
        </is>
      </c>
      <c r="C50" t="inlineStr">
        <is>
          <t>Yes</t>
        </is>
      </c>
      <c r="D50" t="inlineStr">
        <is>
          <t>Yes</t>
        </is>
      </c>
      <c r="E50">
        <f>VLOOKUP(C50,CategoryMap,2,0)</f>
        <v/>
      </c>
      <c r="F50">
        <f>VLOOKUP(D50,CategoryMap,2,0)</f>
        <v/>
      </c>
      <c r="G50">
        <f>ABS(E50-F50)</f>
        <v/>
      </c>
      <c r="H50">
        <f>IF(G50=0,"Yes","No")</f>
        <v/>
      </c>
      <c r="I50" t="inlineStr">
        <is>
          <t>Yes</t>
        </is>
      </c>
      <c r="J50">
        <f>IF(I50="","",IF(AND(I50=C50,I50=D50),"Both",IF(I50=C50,"Opus",IF(I50=D50,"Sonnet","Neither"))))</f>
        <v/>
      </c>
    </row>
    <row r="51">
      <c r="A51" t="inlineStr">
        <is>
          <t>R018</t>
        </is>
      </c>
      <c r="B51" t="inlineStr">
        <is>
          <t>Q2</t>
        </is>
      </c>
      <c r="C51" t="inlineStr">
        <is>
          <t>Yes</t>
        </is>
      </c>
      <c r="D51" t="inlineStr">
        <is>
          <t>Yes</t>
        </is>
      </c>
      <c r="E51">
        <f>VLOOKUP(C51,CategoryMap,2,0)</f>
        <v/>
      </c>
      <c r="F51">
        <f>VLOOKUP(D51,CategoryMap,2,0)</f>
        <v/>
      </c>
      <c r="G51">
        <f>ABS(E51-F51)</f>
        <v/>
      </c>
      <c r="H51">
        <f>IF(G51=0,"Yes","No")</f>
        <v/>
      </c>
      <c r="I51" t="inlineStr">
        <is>
          <t>Yes</t>
        </is>
      </c>
      <c r="J51">
        <f>IF(I51="","",IF(AND(I51=C51,I51=D51),"Both",IF(I51=C51,"Opus",IF(I51=D51,"Sonnet","Neither"))))</f>
        <v/>
      </c>
    </row>
    <row r="52">
      <c r="A52" t="inlineStr">
        <is>
          <t>R018</t>
        </is>
      </c>
      <c r="B52" t="inlineStr">
        <is>
          <t>Q3</t>
        </is>
      </c>
      <c r="C52" t="inlineStr">
        <is>
          <t>Yes</t>
        </is>
      </c>
      <c r="D52" t="inlineStr">
        <is>
          <t>Yes</t>
        </is>
      </c>
      <c r="E52">
        <f>VLOOKUP(C52,CategoryMap,2,0)</f>
        <v/>
      </c>
      <c r="F52">
        <f>VLOOKUP(D52,CategoryMap,2,0)</f>
        <v/>
      </c>
      <c r="G52">
        <f>ABS(E52-F52)</f>
        <v/>
      </c>
      <c r="H52">
        <f>IF(G52=0,"Yes","No")</f>
        <v/>
      </c>
      <c r="I52" t="inlineStr">
        <is>
          <t>Yes</t>
        </is>
      </c>
      <c r="J52">
        <f>IF(I52="","",IF(AND(I52=C52,I52=D52),"Both",IF(I52=C52,"Opus",IF(I52=D52,"Sonnet","Neither"))))</f>
        <v/>
      </c>
    </row>
    <row r="53">
      <c r="A53" t="inlineStr">
        <is>
          <t>R018</t>
        </is>
      </c>
      <c r="B53" t="inlineStr">
        <is>
          <t>Q4</t>
        </is>
      </c>
      <c r="C53" t="inlineStr">
        <is>
          <t>Partial</t>
        </is>
      </c>
      <c r="D53" t="inlineStr">
        <is>
          <t>Partial</t>
        </is>
      </c>
      <c r="E53">
        <f>VLOOKUP(C53,CategoryMap,2,0)</f>
        <v/>
      </c>
      <c r="F53">
        <f>VLOOKUP(D53,CategoryMap,2,0)</f>
        <v/>
      </c>
      <c r="G53">
        <f>ABS(E53-F53)</f>
        <v/>
      </c>
      <c r="H53">
        <f>IF(G53=0,"Yes","No")</f>
        <v/>
      </c>
      <c r="I53" t="inlineStr">
        <is>
          <t>Yes</t>
        </is>
      </c>
      <c r="J53">
        <f>IF(I53="","",IF(AND(I53=C53,I53=D53),"Both",IF(I53=C53,"Opus",IF(I53=D53,"Sonnet","Neither"))))</f>
        <v/>
      </c>
    </row>
    <row r="54">
      <c r="A54" t="inlineStr">
        <is>
          <t>R018</t>
        </is>
      </c>
      <c r="B54" t="inlineStr">
        <is>
          <t>Q5</t>
        </is>
      </c>
      <c r="C54" t="inlineStr">
        <is>
          <t>Yes</t>
        </is>
      </c>
      <c r="D54" t="inlineStr">
        <is>
          <t>Yes</t>
        </is>
      </c>
      <c r="E54">
        <f>VLOOKUP(C54,CategoryMap,2,0)</f>
        <v/>
      </c>
      <c r="F54">
        <f>VLOOKUP(D54,CategoryMap,2,0)</f>
        <v/>
      </c>
      <c r="G54">
        <f>ABS(E54-F54)</f>
        <v/>
      </c>
      <c r="H54">
        <f>IF(G54=0,"Yes","No")</f>
        <v/>
      </c>
      <c r="I54" t="inlineStr">
        <is>
          <t>Yes</t>
        </is>
      </c>
      <c r="J54">
        <f>IF(I54="","",IF(AND(I54=C54,I54=D54),"Both",IF(I54=C54,"Opus",IF(I54=D54,"Sonnet","Neither"))))</f>
        <v/>
      </c>
    </row>
    <row r="55">
      <c r="A55" t="inlineStr">
        <is>
          <t>R018</t>
        </is>
      </c>
      <c r="B55" t="inlineStr">
        <is>
          <t>Q6</t>
        </is>
      </c>
      <c r="C55" t="inlineStr">
        <is>
          <t>Yes</t>
        </is>
      </c>
      <c r="D55" t="inlineStr">
        <is>
          <t>Yes</t>
        </is>
      </c>
      <c r="E55">
        <f>VLOOKUP(C55,CategoryMap,2,0)</f>
        <v/>
      </c>
      <c r="F55">
        <f>VLOOKUP(D55,CategoryMap,2,0)</f>
        <v/>
      </c>
      <c r="G55">
        <f>ABS(E55-F55)</f>
        <v/>
      </c>
      <c r="H55">
        <f>IF(G55=0,"Yes","No")</f>
        <v/>
      </c>
      <c r="I55" t="inlineStr">
        <is>
          <t>Yes</t>
        </is>
      </c>
      <c r="J55">
        <f>IF(I55="","",IF(AND(I55=C55,I55=D55),"Both",IF(I55=C55,"Opus",IF(I55=D55,"Sonnet","Neither"))))</f>
        <v/>
      </c>
    </row>
    <row r="56">
      <c r="A56" t="inlineStr">
        <is>
          <t>R018</t>
        </is>
      </c>
      <c r="B56" t="inlineStr">
        <is>
          <t>Q7</t>
        </is>
      </c>
      <c r="C56" t="inlineStr">
        <is>
          <t>Yes</t>
        </is>
      </c>
      <c r="D56" t="inlineStr">
        <is>
          <t>Yes</t>
        </is>
      </c>
      <c r="E56">
        <f>VLOOKUP(C56,CategoryMap,2,0)</f>
        <v/>
      </c>
      <c r="F56">
        <f>VLOOKUP(D56,CategoryMap,2,0)</f>
        <v/>
      </c>
      <c r="G56">
        <f>ABS(E56-F56)</f>
        <v/>
      </c>
      <c r="H56">
        <f>IF(G56=0,"Yes","No")</f>
        <v/>
      </c>
      <c r="I56" t="inlineStr">
        <is>
          <t>Yes</t>
        </is>
      </c>
      <c r="J56">
        <f>IF(I56="","",IF(AND(I56=C56,I56=D56),"Both",IF(I56=C56,"Opus",IF(I56=D56,"Sonnet","Neither"))))</f>
        <v/>
      </c>
    </row>
    <row r="57">
      <c r="A57" t="inlineStr">
        <is>
          <t>R018</t>
        </is>
      </c>
      <c r="B57" t="inlineStr">
        <is>
          <t>Q8</t>
        </is>
      </c>
      <c r="C57" t="inlineStr">
        <is>
          <t>Yes</t>
        </is>
      </c>
      <c r="D57" t="inlineStr">
        <is>
          <t>Yes</t>
        </is>
      </c>
      <c r="E57">
        <f>VLOOKUP(C57,CategoryMap,2,0)</f>
        <v/>
      </c>
      <c r="F57">
        <f>VLOOKUP(D57,CategoryMap,2,0)</f>
        <v/>
      </c>
      <c r="G57">
        <f>ABS(E57-F57)</f>
        <v/>
      </c>
      <c r="H57">
        <f>IF(G57=0,"Yes","No")</f>
        <v/>
      </c>
      <c r="I57" t="inlineStr">
        <is>
          <t>Yes</t>
        </is>
      </c>
      <c r="J57">
        <f>IF(I57="","",IF(AND(I57=C57,I57=D57),"Both",IF(I57=C57,"Opus",IF(I57=D57,"Sonnet","Neither"))))</f>
        <v/>
      </c>
    </row>
    <row r="58">
      <c r="A58" t="inlineStr">
        <is>
          <t>R020</t>
        </is>
      </c>
      <c r="B58" t="inlineStr">
        <is>
          <t>Q1</t>
        </is>
      </c>
      <c r="C58" t="inlineStr">
        <is>
          <t>Partial</t>
        </is>
      </c>
      <c r="D58" t="inlineStr">
        <is>
          <t>No</t>
        </is>
      </c>
      <c r="E58">
        <f>VLOOKUP(C58,CategoryMap,2,0)</f>
        <v/>
      </c>
      <c r="F58">
        <f>VLOOKUP(D58,CategoryMap,2,0)</f>
        <v/>
      </c>
      <c r="G58">
        <f>ABS(E58-F58)</f>
        <v/>
      </c>
      <c r="H58">
        <f>IF(G58=0,"Yes","No")</f>
        <v/>
      </c>
      <c r="I58" t="inlineStr">
        <is>
          <t>No</t>
        </is>
      </c>
      <c r="J58">
        <f>IF(I58="","",IF(AND(I58=C58,I58=D58),"Both",IF(I58=C58,"Opus",IF(I58=D58,"Sonnet","Neither"))))</f>
        <v/>
      </c>
    </row>
    <row r="59">
      <c r="A59" t="inlineStr">
        <is>
          <t>R020</t>
        </is>
      </c>
      <c r="B59" t="inlineStr">
        <is>
          <t>Q2</t>
        </is>
      </c>
      <c r="C59" t="inlineStr">
        <is>
          <t>Partial</t>
        </is>
      </c>
      <c r="D59" t="inlineStr">
        <is>
          <t>Partial</t>
        </is>
      </c>
      <c r="E59">
        <f>VLOOKUP(C59,CategoryMap,2,0)</f>
        <v/>
      </c>
      <c r="F59">
        <f>VLOOKUP(D59,CategoryMap,2,0)</f>
        <v/>
      </c>
      <c r="G59">
        <f>ABS(E59-F59)</f>
        <v/>
      </c>
      <c r="H59">
        <f>IF(G59=0,"Yes","No")</f>
        <v/>
      </c>
      <c r="I59" t="inlineStr">
        <is>
          <t>No</t>
        </is>
      </c>
      <c r="J59">
        <f>IF(I59="","",IF(AND(I59=C59,I59=D59),"Both",IF(I59=C59,"Opus",IF(I59=D59,"Sonnet","Neither"))))</f>
        <v/>
      </c>
    </row>
    <row r="60">
      <c r="A60" t="inlineStr">
        <is>
          <t>R020</t>
        </is>
      </c>
      <c r="B60" t="inlineStr">
        <is>
          <t>Q3</t>
        </is>
      </c>
      <c r="C60" t="inlineStr">
        <is>
          <t>Yes</t>
        </is>
      </c>
      <c r="D60" t="inlineStr">
        <is>
          <t>Partial</t>
        </is>
      </c>
      <c r="E60">
        <f>VLOOKUP(C60,CategoryMap,2,0)</f>
        <v/>
      </c>
      <c r="F60">
        <f>VLOOKUP(D60,CategoryMap,2,0)</f>
        <v/>
      </c>
      <c r="G60">
        <f>ABS(E60-F60)</f>
        <v/>
      </c>
      <c r="H60">
        <f>IF(G60=0,"Yes","No")</f>
        <v/>
      </c>
      <c r="I60" t="inlineStr">
        <is>
          <t>Yes</t>
        </is>
      </c>
      <c r="J60">
        <f>IF(I60="","",IF(AND(I60=C60,I60=D60),"Both",IF(I60=C60,"Opus",IF(I60=D60,"Sonnet","Neither"))))</f>
        <v/>
      </c>
    </row>
    <row r="61">
      <c r="A61" t="inlineStr">
        <is>
          <t>R020</t>
        </is>
      </c>
      <c r="B61" t="inlineStr">
        <is>
          <t>Q4</t>
        </is>
      </c>
      <c r="C61" t="inlineStr">
        <is>
          <t>No</t>
        </is>
      </c>
      <c r="D61" t="inlineStr">
        <is>
          <t>No</t>
        </is>
      </c>
      <c r="E61">
        <f>VLOOKUP(C61,CategoryMap,2,0)</f>
        <v/>
      </c>
      <c r="F61">
        <f>VLOOKUP(D61,CategoryMap,2,0)</f>
        <v/>
      </c>
      <c r="G61">
        <f>ABS(E61-F61)</f>
        <v/>
      </c>
      <c r="H61">
        <f>IF(G61=0,"Yes","No")</f>
        <v/>
      </c>
      <c r="I61" t="inlineStr">
        <is>
          <t>No</t>
        </is>
      </c>
      <c r="J61">
        <f>IF(I61="","",IF(AND(I61=C61,I61=D61),"Both",IF(I61=C61,"Opus",IF(I61=D61,"Sonnet","Neither"))))</f>
        <v/>
      </c>
    </row>
    <row r="62">
      <c r="A62" t="inlineStr">
        <is>
          <t>R020</t>
        </is>
      </c>
      <c r="B62" t="inlineStr">
        <is>
          <t>Q5</t>
        </is>
      </c>
      <c r="C62" t="inlineStr">
        <is>
          <t>No</t>
        </is>
      </c>
      <c r="D62" t="inlineStr">
        <is>
          <t>No</t>
        </is>
      </c>
      <c r="E62">
        <f>VLOOKUP(C62,CategoryMap,2,0)</f>
        <v/>
      </c>
      <c r="F62">
        <f>VLOOKUP(D62,CategoryMap,2,0)</f>
        <v/>
      </c>
      <c r="G62">
        <f>ABS(E62-F62)</f>
        <v/>
      </c>
      <c r="H62">
        <f>IF(G62=0,"Yes","No")</f>
        <v/>
      </c>
      <c r="I62" t="inlineStr">
        <is>
          <t>No</t>
        </is>
      </c>
      <c r="J62">
        <f>IF(I62="","",IF(AND(I62=C62,I62=D62),"Both",IF(I62=C62,"Opus",IF(I62=D62,"Sonnet","Neither"))))</f>
        <v/>
      </c>
    </row>
    <row r="63">
      <c r="A63" t="inlineStr">
        <is>
          <t>R020</t>
        </is>
      </c>
      <c r="B63" t="inlineStr">
        <is>
          <t>Q6</t>
        </is>
      </c>
      <c r="C63" t="inlineStr">
        <is>
          <t>No</t>
        </is>
      </c>
      <c r="D63" t="inlineStr">
        <is>
          <t>No</t>
        </is>
      </c>
      <c r="E63">
        <f>VLOOKUP(C63,CategoryMap,2,0)</f>
        <v/>
      </c>
      <c r="F63">
        <f>VLOOKUP(D63,CategoryMap,2,0)</f>
        <v/>
      </c>
      <c r="G63">
        <f>ABS(E63-F63)</f>
        <v/>
      </c>
      <c r="H63">
        <f>IF(G63=0,"Yes","No")</f>
        <v/>
      </c>
      <c r="I63" t="inlineStr">
        <is>
          <t>No</t>
        </is>
      </c>
      <c r="J63">
        <f>IF(I63="","",IF(AND(I63=C63,I63=D63),"Both",IF(I63=C63,"Opus",IF(I63=D63,"Sonnet","Neither"))))</f>
        <v/>
      </c>
    </row>
    <row r="64">
      <c r="A64" t="inlineStr">
        <is>
          <t>R020</t>
        </is>
      </c>
      <c r="B64" t="inlineStr">
        <is>
          <t>Q7</t>
        </is>
      </c>
      <c r="C64" t="inlineStr">
        <is>
          <t>No</t>
        </is>
      </c>
      <c r="D64" t="inlineStr">
        <is>
          <t>No</t>
        </is>
      </c>
      <c r="E64">
        <f>VLOOKUP(C64,CategoryMap,2,0)</f>
        <v/>
      </c>
      <c r="F64">
        <f>VLOOKUP(D64,CategoryMap,2,0)</f>
        <v/>
      </c>
      <c r="G64">
        <f>ABS(E64-F64)</f>
        <v/>
      </c>
      <c r="H64">
        <f>IF(G64=0,"Yes","No")</f>
        <v/>
      </c>
      <c r="I64" t="inlineStr">
        <is>
          <t>No</t>
        </is>
      </c>
      <c r="J64">
        <f>IF(I64="","",IF(AND(I64=C64,I64=D64),"Both",IF(I64=C64,"Opus",IF(I64=D64,"Sonnet","Neither"))))</f>
        <v/>
      </c>
    </row>
    <row r="65">
      <c r="A65" t="inlineStr">
        <is>
          <t>R020</t>
        </is>
      </c>
      <c r="B65" t="inlineStr">
        <is>
          <t>Q8</t>
        </is>
      </c>
      <c r="C65" t="inlineStr">
        <is>
          <t>Partial</t>
        </is>
      </c>
      <c r="D65" t="inlineStr">
        <is>
          <t>No</t>
        </is>
      </c>
      <c r="E65">
        <f>VLOOKUP(C65,CategoryMap,2,0)</f>
        <v/>
      </c>
      <c r="F65">
        <f>VLOOKUP(D65,CategoryMap,2,0)</f>
        <v/>
      </c>
      <c r="G65">
        <f>ABS(E65-F65)</f>
        <v/>
      </c>
      <c r="H65">
        <f>IF(G65=0,"Yes","No")</f>
        <v/>
      </c>
      <c r="I65" t="inlineStr">
        <is>
          <t>No</t>
        </is>
      </c>
      <c r="J65">
        <f>IF(I65="","",IF(AND(I65=C65,I65=D65),"Both",IF(I65=C65,"Opus",IF(I65=D65,"Sonnet","Neither"))))</f>
        <v/>
      </c>
    </row>
    <row r="66">
      <c r="A66" t="inlineStr">
        <is>
          <t>R021</t>
        </is>
      </c>
      <c r="B66" t="inlineStr">
        <is>
          <t>Q1</t>
        </is>
      </c>
      <c r="C66" t="inlineStr">
        <is>
          <t>Partial</t>
        </is>
      </c>
      <c r="D66" t="inlineStr">
        <is>
          <t>Partial</t>
        </is>
      </c>
      <c r="E66">
        <f>VLOOKUP(C66,CategoryMap,2,0)</f>
        <v/>
      </c>
      <c r="F66">
        <f>VLOOKUP(D66,CategoryMap,2,0)</f>
        <v/>
      </c>
      <c r="G66">
        <f>ABS(E66-F66)</f>
        <v/>
      </c>
      <c r="H66">
        <f>IF(G66=0,"Yes","No")</f>
        <v/>
      </c>
      <c r="I66" t="inlineStr">
        <is>
          <t>Partial</t>
        </is>
      </c>
      <c r="J66">
        <f>IF(I66="","",IF(AND(I66=C66,I66=D66),"Both",IF(I66=C66,"Opus",IF(I66=D66,"Sonnet","Neither"))))</f>
        <v/>
      </c>
    </row>
    <row r="67">
      <c r="A67" t="inlineStr">
        <is>
          <t>R021</t>
        </is>
      </c>
      <c r="B67" t="inlineStr">
        <is>
          <t>Q2</t>
        </is>
      </c>
      <c r="C67" t="inlineStr">
        <is>
          <t>Partial</t>
        </is>
      </c>
      <c r="D67" t="inlineStr">
        <is>
          <t>Partial</t>
        </is>
      </c>
      <c r="E67">
        <f>VLOOKUP(C67,CategoryMap,2,0)</f>
        <v/>
      </c>
      <c r="F67">
        <f>VLOOKUP(D67,CategoryMap,2,0)</f>
        <v/>
      </c>
      <c r="G67">
        <f>ABS(E67-F67)</f>
        <v/>
      </c>
      <c r="H67">
        <f>IF(G67=0,"Yes","No")</f>
        <v/>
      </c>
      <c r="I67" t="inlineStr">
        <is>
          <t>Partial</t>
        </is>
      </c>
      <c r="J67">
        <f>IF(I67="","",IF(AND(I67=C67,I67=D67),"Both",IF(I67=C67,"Opus",IF(I67=D67,"Sonnet","Neither"))))</f>
        <v/>
      </c>
    </row>
    <row r="68">
      <c r="A68" t="inlineStr">
        <is>
          <t>R021</t>
        </is>
      </c>
      <c r="B68" t="inlineStr">
        <is>
          <t>Q3</t>
        </is>
      </c>
      <c r="C68" t="inlineStr">
        <is>
          <t>Yes</t>
        </is>
      </c>
      <c r="D68" t="inlineStr">
        <is>
          <t>Yes</t>
        </is>
      </c>
      <c r="E68">
        <f>VLOOKUP(C68,CategoryMap,2,0)</f>
        <v/>
      </c>
      <c r="F68">
        <f>VLOOKUP(D68,CategoryMap,2,0)</f>
        <v/>
      </c>
      <c r="G68">
        <f>ABS(E68-F68)</f>
        <v/>
      </c>
      <c r="H68">
        <f>IF(G68=0,"Yes","No")</f>
        <v/>
      </c>
      <c r="I68" t="inlineStr">
        <is>
          <t>Yes</t>
        </is>
      </c>
      <c r="J68">
        <f>IF(I68="","",IF(AND(I68=C68,I68=D68),"Both",IF(I68=C68,"Opus",IF(I68=D68,"Sonnet","Neither"))))</f>
        <v/>
      </c>
    </row>
    <row r="69">
      <c r="A69" t="inlineStr">
        <is>
          <t>R021</t>
        </is>
      </c>
      <c r="B69" t="inlineStr">
        <is>
          <t>Q4</t>
        </is>
      </c>
      <c r="C69" t="inlineStr">
        <is>
          <t>Partial</t>
        </is>
      </c>
      <c r="D69" t="inlineStr">
        <is>
          <t>Partial</t>
        </is>
      </c>
      <c r="E69">
        <f>VLOOKUP(C69,CategoryMap,2,0)</f>
        <v/>
      </c>
      <c r="F69">
        <f>VLOOKUP(D69,CategoryMap,2,0)</f>
        <v/>
      </c>
      <c r="G69">
        <f>ABS(E69-F69)</f>
        <v/>
      </c>
      <c r="H69">
        <f>IF(G69=0,"Yes","No")</f>
        <v/>
      </c>
      <c r="I69" t="inlineStr">
        <is>
          <t>Partial</t>
        </is>
      </c>
      <c r="J69">
        <f>IF(I69="","",IF(AND(I69=C69,I69=D69),"Both",IF(I69=C69,"Opus",IF(I69=D69,"Sonnet","Neither"))))</f>
        <v/>
      </c>
    </row>
    <row r="70">
      <c r="A70" t="inlineStr">
        <is>
          <t>R021</t>
        </is>
      </c>
      <c r="B70" t="inlineStr">
        <is>
          <t>Q5</t>
        </is>
      </c>
      <c r="C70" t="inlineStr">
        <is>
          <t>Partial</t>
        </is>
      </c>
      <c r="D70" t="inlineStr">
        <is>
          <t>Partial</t>
        </is>
      </c>
      <c r="E70">
        <f>VLOOKUP(C70,CategoryMap,2,0)</f>
        <v/>
      </c>
      <c r="F70">
        <f>VLOOKUP(D70,CategoryMap,2,0)</f>
        <v/>
      </c>
      <c r="G70">
        <f>ABS(E70-F70)</f>
        <v/>
      </c>
      <c r="H70">
        <f>IF(G70=0,"Yes","No")</f>
        <v/>
      </c>
      <c r="I70" t="inlineStr">
        <is>
          <t>Partial</t>
        </is>
      </c>
      <c r="J70">
        <f>IF(I70="","",IF(AND(I70=C70,I70=D70),"Both",IF(I70=C70,"Opus",IF(I70=D70,"Sonnet","Neither"))))</f>
        <v/>
      </c>
    </row>
    <row r="71">
      <c r="A71" t="inlineStr">
        <is>
          <t>R021</t>
        </is>
      </c>
      <c r="B71" t="inlineStr">
        <is>
          <t>Q6</t>
        </is>
      </c>
      <c r="C71" t="inlineStr">
        <is>
          <t>Partial</t>
        </is>
      </c>
      <c r="D71" t="inlineStr">
        <is>
          <t>Partial</t>
        </is>
      </c>
      <c r="E71">
        <f>VLOOKUP(C71,CategoryMap,2,0)</f>
        <v/>
      </c>
      <c r="F71">
        <f>VLOOKUP(D71,CategoryMap,2,0)</f>
        <v/>
      </c>
      <c r="G71">
        <f>ABS(E71-F71)</f>
        <v/>
      </c>
      <c r="H71">
        <f>IF(G71=0,"Yes","No")</f>
        <v/>
      </c>
      <c r="I71" t="inlineStr">
        <is>
          <t>Partial</t>
        </is>
      </c>
      <c r="J71">
        <f>IF(I71="","",IF(AND(I71=C71,I71=D71),"Both",IF(I71=C71,"Opus",IF(I71=D71,"Sonnet","Neither"))))</f>
        <v/>
      </c>
    </row>
    <row r="72">
      <c r="A72" t="inlineStr">
        <is>
          <t>R021</t>
        </is>
      </c>
      <c r="B72" t="inlineStr">
        <is>
          <t>Q7</t>
        </is>
      </c>
      <c r="C72" t="inlineStr">
        <is>
          <t>Yes</t>
        </is>
      </c>
      <c r="D72" t="inlineStr">
        <is>
          <t>Yes</t>
        </is>
      </c>
      <c r="E72">
        <f>VLOOKUP(C72,CategoryMap,2,0)</f>
        <v/>
      </c>
      <c r="F72">
        <f>VLOOKUP(D72,CategoryMap,2,0)</f>
        <v/>
      </c>
      <c r="G72">
        <f>ABS(E72-F72)</f>
        <v/>
      </c>
      <c r="H72">
        <f>IF(G72=0,"Yes","No")</f>
        <v/>
      </c>
      <c r="I72" t="inlineStr">
        <is>
          <t>Yes</t>
        </is>
      </c>
      <c r="J72">
        <f>IF(I72="","",IF(AND(I72=C72,I72=D72),"Both",IF(I72=C72,"Opus",IF(I72=D72,"Sonnet","Neither"))))</f>
        <v/>
      </c>
    </row>
    <row r="73">
      <c r="A73" t="inlineStr">
        <is>
          <t>R021</t>
        </is>
      </c>
      <c r="B73" t="inlineStr">
        <is>
          <t>Q8</t>
        </is>
      </c>
      <c r="C73" t="inlineStr">
        <is>
          <t>Yes</t>
        </is>
      </c>
      <c r="D73" t="inlineStr">
        <is>
          <t>Yes</t>
        </is>
      </c>
      <c r="E73">
        <f>VLOOKUP(C73,CategoryMap,2,0)</f>
        <v/>
      </c>
      <c r="F73">
        <f>VLOOKUP(D73,CategoryMap,2,0)</f>
        <v/>
      </c>
      <c r="G73">
        <f>ABS(E73-F73)</f>
        <v/>
      </c>
      <c r="H73">
        <f>IF(G73=0,"Yes","No")</f>
        <v/>
      </c>
      <c r="I73" t="inlineStr">
        <is>
          <t>Yes</t>
        </is>
      </c>
      <c r="J73">
        <f>IF(I73="","",IF(AND(I73=C73,I73=D73),"Both",IF(I73=C73,"Opus",IF(I73=D73,"Sonnet","Neither"))))</f>
        <v/>
      </c>
    </row>
    <row r="74">
      <c r="A74" t="inlineStr">
        <is>
          <t>R022</t>
        </is>
      </c>
      <c r="B74" t="inlineStr">
        <is>
          <t>Q1</t>
        </is>
      </c>
      <c r="C74" t="inlineStr">
        <is>
          <t>Yes</t>
        </is>
      </c>
      <c r="D74" t="inlineStr">
        <is>
          <t>Yes</t>
        </is>
      </c>
      <c r="E74">
        <f>VLOOKUP(C74,CategoryMap,2,0)</f>
        <v/>
      </c>
      <c r="F74">
        <f>VLOOKUP(D74,CategoryMap,2,0)</f>
        <v/>
      </c>
      <c r="G74">
        <f>ABS(E74-F74)</f>
        <v/>
      </c>
      <c r="H74">
        <f>IF(G74=0,"Yes","No")</f>
        <v/>
      </c>
      <c r="I74" t="inlineStr">
        <is>
          <t>Yes</t>
        </is>
      </c>
      <c r="J74">
        <f>IF(I74="","",IF(AND(I74=C74,I74=D74),"Both",IF(I74=C74,"Opus",IF(I74=D74,"Sonnet","Neither"))))</f>
        <v/>
      </c>
    </row>
    <row r="75">
      <c r="A75" t="inlineStr">
        <is>
          <t>R022</t>
        </is>
      </c>
      <c r="B75" t="inlineStr">
        <is>
          <t>Q2</t>
        </is>
      </c>
      <c r="C75" t="inlineStr">
        <is>
          <t>Yes</t>
        </is>
      </c>
      <c r="D75" t="inlineStr">
        <is>
          <t>Yes</t>
        </is>
      </c>
      <c r="E75">
        <f>VLOOKUP(C75,CategoryMap,2,0)</f>
        <v/>
      </c>
      <c r="F75">
        <f>VLOOKUP(D75,CategoryMap,2,0)</f>
        <v/>
      </c>
      <c r="G75">
        <f>ABS(E75-F75)</f>
        <v/>
      </c>
      <c r="H75">
        <f>IF(G75=0,"Yes","No")</f>
        <v/>
      </c>
      <c r="I75" t="inlineStr">
        <is>
          <t>Yes</t>
        </is>
      </c>
      <c r="J75">
        <f>IF(I75="","",IF(AND(I75=C75,I75=D75),"Both",IF(I75=C75,"Opus",IF(I75=D75,"Sonnet","Neither"))))</f>
        <v/>
      </c>
    </row>
    <row r="76">
      <c r="A76" t="inlineStr">
        <is>
          <t>R022</t>
        </is>
      </c>
      <c r="B76" t="inlineStr">
        <is>
          <t>Q3</t>
        </is>
      </c>
      <c r="C76" t="inlineStr">
        <is>
          <t>Yes</t>
        </is>
      </c>
      <c r="D76" t="inlineStr">
        <is>
          <t>Yes</t>
        </is>
      </c>
      <c r="E76">
        <f>VLOOKUP(C76,CategoryMap,2,0)</f>
        <v/>
      </c>
      <c r="F76">
        <f>VLOOKUP(D76,CategoryMap,2,0)</f>
        <v/>
      </c>
      <c r="G76">
        <f>ABS(E76-F76)</f>
        <v/>
      </c>
      <c r="H76">
        <f>IF(G76=0,"Yes","No")</f>
        <v/>
      </c>
      <c r="I76" t="inlineStr">
        <is>
          <t>Yes</t>
        </is>
      </c>
      <c r="J76">
        <f>IF(I76="","",IF(AND(I76=C76,I76=D76),"Both",IF(I76=C76,"Opus",IF(I76=D76,"Sonnet","Neither"))))</f>
        <v/>
      </c>
    </row>
    <row r="77">
      <c r="A77" t="inlineStr">
        <is>
          <t>R022</t>
        </is>
      </c>
      <c r="B77" t="inlineStr">
        <is>
          <t>Q4</t>
        </is>
      </c>
      <c r="C77" t="inlineStr">
        <is>
          <t>Partial</t>
        </is>
      </c>
      <c r="D77" t="inlineStr">
        <is>
          <t>Partial</t>
        </is>
      </c>
      <c r="E77">
        <f>VLOOKUP(C77,CategoryMap,2,0)</f>
        <v/>
      </c>
      <c r="F77">
        <f>VLOOKUP(D77,CategoryMap,2,0)</f>
        <v/>
      </c>
      <c r="G77">
        <f>ABS(E77-F77)</f>
        <v/>
      </c>
      <c r="H77">
        <f>IF(G77=0,"Yes","No")</f>
        <v/>
      </c>
      <c r="I77" t="inlineStr">
        <is>
          <t>Partial</t>
        </is>
      </c>
      <c r="J77">
        <f>IF(I77="","",IF(AND(I77=C77,I77=D77),"Both",IF(I77=C77,"Opus",IF(I77=D77,"Sonnet","Neither"))))</f>
        <v/>
      </c>
    </row>
    <row r="78">
      <c r="A78" t="inlineStr">
        <is>
          <t>R022</t>
        </is>
      </c>
      <c r="B78" t="inlineStr">
        <is>
          <t>Q5</t>
        </is>
      </c>
      <c r="C78" t="inlineStr">
        <is>
          <t>Yes</t>
        </is>
      </c>
      <c r="D78" t="inlineStr">
        <is>
          <t>Yes</t>
        </is>
      </c>
      <c r="E78">
        <f>VLOOKUP(C78,CategoryMap,2,0)</f>
        <v/>
      </c>
      <c r="F78">
        <f>VLOOKUP(D78,CategoryMap,2,0)</f>
        <v/>
      </c>
      <c r="G78">
        <f>ABS(E78-F78)</f>
        <v/>
      </c>
      <c r="H78">
        <f>IF(G78=0,"Yes","No")</f>
        <v/>
      </c>
      <c r="I78" t="inlineStr">
        <is>
          <t>Yes</t>
        </is>
      </c>
      <c r="J78">
        <f>IF(I78="","",IF(AND(I78=C78,I78=D78),"Both",IF(I78=C78,"Opus",IF(I78=D78,"Sonnet","Neither"))))</f>
        <v/>
      </c>
    </row>
    <row r="79">
      <c r="A79" t="inlineStr">
        <is>
          <t>R022</t>
        </is>
      </c>
      <c r="B79" t="inlineStr">
        <is>
          <t>Q6</t>
        </is>
      </c>
      <c r="C79" t="inlineStr">
        <is>
          <t>Yes</t>
        </is>
      </c>
      <c r="D79" t="inlineStr">
        <is>
          <t>Yes</t>
        </is>
      </c>
      <c r="E79">
        <f>VLOOKUP(C79,CategoryMap,2,0)</f>
        <v/>
      </c>
      <c r="F79">
        <f>VLOOKUP(D79,CategoryMap,2,0)</f>
        <v/>
      </c>
      <c r="G79">
        <f>ABS(E79-F79)</f>
        <v/>
      </c>
      <c r="H79">
        <f>IF(G79=0,"Yes","No")</f>
        <v/>
      </c>
      <c r="I79" t="inlineStr">
        <is>
          <t>Yes</t>
        </is>
      </c>
      <c r="J79">
        <f>IF(I79="","",IF(AND(I79=C79,I79=D79),"Both",IF(I79=C79,"Opus",IF(I79=D79,"Sonnet","Neither"))))</f>
        <v/>
      </c>
    </row>
    <row r="80">
      <c r="A80" t="inlineStr">
        <is>
          <t>R022</t>
        </is>
      </c>
      <c r="B80" t="inlineStr">
        <is>
          <t>Q7</t>
        </is>
      </c>
      <c r="C80" t="inlineStr">
        <is>
          <t>Partial</t>
        </is>
      </c>
      <c r="D80" t="inlineStr">
        <is>
          <t>Partial</t>
        </is>
      </c>
      <c r="E80">
        <f>VLOOKUP(C80,CategoryMap,2,0)</f>
        <v/>
      </c>
      <c r="F80">
        <f>VLOOKUP(D80,CategoryMap,2,0)</f>
        <v/>
      </c>
      <c r="G80">
        <f>ABS(E80-F80)</f>
        <v/>
      </c>
      <c r="H80">
        <f>IF(G80=0,"Yes","No")</f>
        <v/>
      </c>
      <c r="I80" t="inlineStr">
        <is>
          <t>Partial</t>
        </is>
      </c>
      <c r="J80">
        <f>IF(I80="","",IF(AND(I80=C80,I80=D80),"Both",IF(I80=C80,"Opus",IF(I80=D80,"Sonnet","Neither"))))</f>
        <v/>
      </c>
    </row>
    <row r="81">
      <c r="A81" t="inlineStr">
        <is>
          <t>R022</t>
        </is>
      </c>
      <c r="B81" t="inlineStr">
        <is>
          <t>Q8</t>
        </is>
      </c>
      <c r="C81" t="inlineStr">
        <is>
          <t>Yes</t>
        </is>
      </c>
      <c r="D81" t="inlineStr">
        <is>
          <t>Partial</t>
        </is>
      </c>
      <c r="E81">
        <f>VLOOKUP(C81,CategoryMap,2,0)</f>
        <v/>
      </c>
      <c r="F81">
        <f>VLOOKUP(D81,CategoryMap,2,0)</f>
        <v/>
      </c>
      <c r="G81">
        <f>ABS(E81-F81)</f>
        <v/>
      </c>
      <c r="H81">
        <f>IF(G81=0,"Yes","No")</f>
        <v/>
      </c>
      <c r="I81" t="inlineStr">
        <is>
          <t>Partial</t>
        </is>
      </c>
      <c r="J81">
        <f>IF(I81="","",IF(AND(I81=C81,I81=D81),"Both",IF(I81=C81,"Opus",IF(I81=D81,"Sonnet","Neither"))))</f>
        <v/>
      </c>
    </row>
    <row r="82">
      <c r="A82" t="inlineStr">
        <is>
          <t>R023</t>
        </is>
      </c>
      <c r="B82" t="inlineStr">
        <is>
          <t>Q1</t>
        </is>
      </c>
      <c r="C82" t="inlineStr">
        <is>
          <t>Partial</t>
        </is>
      </c>
      <c r="D82" t="inlineStr">
        <is>
          <t>No</t>
        </is>
      </c>
      <c r="E82">
        <f>VLOOKUP(C82,CategoryMap,2,0)</f>
        <v/>
      </c>
      <c r="F82">
        <f>VLOOKUP(D82,CategoryMap,2,0)</f>
        <v/>
      </c>
      <c r="G82">
        <f>ABS(E82-F82)</f>
        <v/>
      </c>
      <c r="H82">
        <f>IF(G82=0,"Yes","No")</f>
        <v/>
      </c>
      <c r="I82" t="inlineStr">
        <is>
          <t>No</t>
        </is>
      </c>
      <c r="J82">
        <f>IF(I82="","",IF(AND(I82=C82,I82=D82),"Both",IF(I82=C82,"Opus",IF(I82=D82,"Sonnet","Neither"))))</f>
        <v/>
      </c>
    </row>
    <row r="83">
      <c r="A83" t="inlineStr">
        <is>
          <t>R023</t>
        </is>
      </c>
      <c r="B83" t="inlineStr">
        <is>
          <t>Q2</t>
        </is>
      </c>
      <c r="C83" t="inlineStr">
        <is>
          <t>Yes</t>
        </is>
      </c>
      <c r="D83" t="inlineStr">
        <is>
          <t>Yes</t>
        </is>
      </c>
      <c r="E83">
        <f>VLOOKUP(C83,CategoryMap,2,0)</f>
        <v/>
      </c>
      <c r="F83">
        <f>VLOOKUP(D83,CategoryMap,2,0)</f>
        <v/>
      </c>
      <c r="G83">
        <f>ABS(E83-F83)</f>
        <v/>
      </c>
      <c r="H83">
        <f>IF(G83=0,"Yes","No")</f>
        <v/>
      </c>
      <c r="I83" t="inlineStr">
        <is>
          <t>Yes</t>
        </is>
      </c>
      <c r="J83">
        <f>IF(I83="","",IF(AND(I83=C83,I83=D83),"Both",IF(I83=C83,"Opus",IF(I83=D83,"Sonnet","Neither"))))</f>
        <v/>
      </c>
    </row>
    <row r="84">
      <c r="A84" t="inlineStr">
        <is>
          <t>R023</t>
        </is>
      </c>
      <c r="B84" t="inlineStr">
        <is>
          <t>Q3</t>
        </is>
      </c>
      <c r="C84" t="inlineStr">
        <is>
          <t>Yes</t>
        </is>
      </c>
      <c r="D84" t="inlineStr">
        <is>
          <t>Partial</t>
        </is>
      </c>
      <c r="E84">
        <f>VLOOKUP(C84,CategoryMap,2,0)</f>
        <v/>
      </c>
      <c r="F84">
        <f>VLOOKUP(D84,CategoryMap,2,0)</f>
        <v/>
      </c>
      <c r="G84">
        <f>ABS(E84-F84)</f>
        <v/>
      </c>
      <c r="H84">
        <f>IF(G84=0,"Yes","No")</f>
        <v/>
      </c>
      <c r="I84" t="inlineStr">
        <is>
          <t>Partial</t>
        </is>
      </c>
      <c r="J84">
        <f>IF(I84="","",IF(AND(I84=C84,I84=D84),"Both",IF(I84=C84,"Opus",IF(I84=D84,"Sonnet","Neither"))))</f>
        <v/>
      </c>
    </row>
    <row r="85">
      <c r="A85" t="inlineStr">
        <is>
          <t>R023</t>
        </is>
      </c>
      <c r="B85" t="inlineStr">
        <is>
          <t>Q4</t>
        </is>
      </c>
      <c r="C85" t="inlineStr">
        <is>
          <t>No</t>
        </is>
      </c>
      <c r="D85" t="inlineStr">
        <is>
          <t>No</t>
        </is>
      </c>
      <c r="E85">
        <f>VLOOKUP(C85,CategoryMap,2,0)</f>
        <v/>
      </c>
      <c r="F85">
        <f>VLOOKUP(D85,CategoryMap,2,0)</f>
        <v/>
      </c>
      <c r="G85">
        <f>ABS(E85-F85)</f>
        <v/>
      </c>
      <c r="H85">
        <f>IF(G85=0,"Yes","No")</f>
        <v/>
      </c>
      <c r="I85" t="inlineStr">
        <is>
          <t>No</t>
        </is>
      </c>
      <c r="J85">
        <f>IF(I85="","",IF(AND(I85=C85,I85=D85),"Both",IF(I85=C85,"Opus",IF(I85=D85,"Sonnet","Neither"))))</f>
        <v/>
      </c>
    </row>
    <row r="86">
      <c r="A86" t="inlineStr">
        <is>
          <t>R023</t>
        </is>
      </c>
      <c r="B86" t="inlineStr">
        <is>
          <t>Q5</t>
        </is>
      </c>
      <c r="C86" t="inlineStr">
        <is>
          <t>Partial</t>
        </is>
      </c>
      <c r="D86" t="inlineStr">
        <is>
          <t>No</t>
        </is>
      </c>
      <c r="E86">
        <f>VLOOKUP(C86,CategoryMap,2,0)</f>
        <v/>
      </c>
      <c r="F86">
        <f>VLOOKUP(D86,CategoryMap,2,0)</f>
        <v/>
      </c>
      <c r="G86">
        <f>ABS(E86-F86)</f>
        <v/>
      </c>
      <c r="H86">
        <f>IF(G86=0,"Yes","No")</f>
        <v/>
      </c>
      <c r="I86" t="inlineStr">
        <is>
          <t>No</t>
        </is>
      </c>
      <c r="J86">
        <f>IF(I86="","",IF(AND(I86=C86,I86=D86),"Both",IF(I86=C86,"Opus",IF(I86=D86,"Sonnet","Neither"))))</f>
        <v/>
      </c>
    </row>
    <row r="87">
      <c r="A87" t="inlineStr">
        <is>
          <t>R023</t>
        </is>
      </c>
      <c r="B87" t="inlineStr">
        <is>
          <t>Q6</t>
        </is>
      </c>
      <c r="C87" t="inlineStr">
        <is>
          <t>Partial</t>
        </is>
      </c>
      <c r="D87" t="inlineStr">
        <is>
          <t>Partial</t>
        </is>
      </c>
      <c r="E87">
        <f>VLOOKUP(C87,CategoryMap,2,0)</f>
        <v/>
      </c>
      <c r="F87">
        <f>VLOOKUP(D87,CategoryMap,2,0)</f>
        <v/>
      </c>
      <c r="G87">
        <f>ABS(E87-F87)</f>
        <v/>
      </c>
      <c r="H87">
        <f>IF(G87=0,"Yes","No")</f>
        <v/>
      </c>
      <c r="I87" t="inlineStr">
        <is>
          <t>Partial</t>
        </is>
      </c>
      <c r="J87">
        <f>IF(I87="","",IF(AND(I87=C87,I87=D87),"Both",IF(I87=C87,"Opus",IF(I87=D87,"Sonnet","Neither"))))</f>
        <v/>
      </c>
    </row>
    <row r="88">
      <c r="A88" t="inlineStr">
        <is>
          <t>R023</t>
        </is>
      </c>
      <c r="B88" t="inlineStr">
        <is>
          <t>Q7</t>
        </is>
      </c>
      <c r="C88" t="inlineStr">
        <is>
          <t>No</t>
        </is>
      </c>
      <c r="D88" t="inlineStr">
        <is>
          <t>No</t>
        </is>
      </c>
      <c r="E88">
        <f>VLOOKUP(C88,CategoryMap,2,0)</f>
        <v/>
      </c>
      <c r="F88">
        <f>VLOOKUP(D88,CategoryMap,2,0)</f>
        <v/>
      </c>
      <c r="G88">
        <f>ABS(E88-F88)</f>
        <v/>
      </c>
      <c r="H88">
        <f>IF(G88=0,"Yes","No")</f>
        <v/>
      </c>
      <c r="I88" t="inlineStr">
        <is>
          <t>No</t>
        </is>
      </c>
      <c r="J88">
        <f>IF(I88="","",IF(AND(I88=C88,I88=D88),"Both",IF(I88=C88,"Opus",IF(I88=D88,"Sonnet","Neither"))))</f>
        <v/>
      </c>
    </row>
    <row r="89">
      <c r="A89" t="inlineStr">
        <is>
          <t>R023</t>
        </is>
      </c>
      <c r="B89" t="inlineStr">
        <is>
          <t>Q8</t>
        </is>
      </c>
      <c r="C89" t="inlineStr">
        <is>
          <t>Partial</t>
        </is>
      </c>
      <c r="D89" t="inlineStr">
        <is>
          <t>No</t>
        </is>
      </c>
      <c r="E89">
        <f>VLOOKUP(C89,CategoryMap,2,0)</f>
        <v/>
      </c>
      <c r="F89">
        <f>VLOOKUP(D89,CategoryMap,2,0)</f>
        <v/>
      </c>
      <c r="G89">
        <f>ABS(E89-F89)</f>
        <v/>
      </c>
      <c r="H89">
        <f>IF(G89=0,"Yes","No")</f>
        <v/>
      </c>
      <c r="I89" t="inlineStr">
        <is>
          <t>Partial</t>
        </is>
      </c>
      <c r="J89">
        <f>IF(I89="","",IF(AND(I89=C89,I89=D89),"Both",IF(I89=C89,"Opus",IF(I89=D89,"Sonnet","Neither"))))</f>
        <v/>
      </c>
    </row>
    <row r="90">
      <c r="A90" t="inlineStr">
        <is>
          <t>R033</t>
        </is>
      </c>
      <c r="B90" t="inlineStr">
        <is>
          <t>Q1</t>
        </is>
      </c>
      <c r="C90" t="inlineStr">
        <is>
          <t>Yes</t>
        </is>
      </c>
      <c r="D90" t="inlineStr">
        <is>
          <t>Partial</t>
        </is>
      </c>
      <c r="E90">
        <f>VLOOKUP(C90,CategoryMap,2,0)</f>
        <v/>
      </c>
      <c r="F90">
        <f>VLOOKUP(D90,CategoryMap,2,0)</f>
        <v/>
      </c>
      <c r="G90">
        <f>ABS(E90-F90)</f>
        <v/>
      </c>
      <c r="H90">
        <f>IF(G90=0,"Yes","No")</f>
        <v/>
      </c>
      <c r="I90" t="inlineStr">
        <is>
          <t>Yes</t>
        </is>
      </c>
      <c r="J90">
        <f>IF(I90="","",IF(AND(I90=C90,I90=D90),"Both",IF(I90=C90,"Opus",IF(I90=D90,"Sonnet","Neither"))))</f>
        <v/>
      </c>
    </row>
    <row r="91">
      <c r="A91" t="inlineStr">
        <is>
          <t>R033</t>
        </is>
      </c>
      <c r="B91" t="inlineStr">
        <is>
          <t>Q2</t>
        </is>
      </c>
      <c r="C91" t="inlineStr">
        <is>
          <t>Yes</t>
        </is>
      </c>
      <c r="D91" t="inlineStr">
        <is>
          <t>Yes</t>
        </is>
      </c>
      <c r="E91">
        <f>VLOOKUP(C91,CategoryMap,2,0)</f>
        <v/>
      </c>
      <c r="F91">
        <f>VLOOKUP(D91,CategoryMap,2,0)</f>
        <v/>
      </c>
      <c r="G91">
        <f>ABS(E91-F91)</f>
        <v/>
      </c>
      <c r="H91">
        <f>IF(G91=0,"Yes","No")</f>
        <v/>
      </c>
      <c r="I91" t="inlineStr">
        <is>
          <t>Yes</t>
        </is>
      </c>
      <c r="J91">
        <f>IF(I91="","",IF(AND(I91=C91,I91=D91),"Both",IF(I91=C91,"Opus",IF(I91=D91,"Sonnet","Neither"))))</f>
        <v/>
      </c>
    </row>
    <row r="92">
      <c r="A92" t="inlineStr">
        <is>
          <t>R033</t>
        </is>
      </c>
      <c r="B92" t="inlineStr">
        <is>
          <t>Q3</t>
        </is>
      </c>
      <c r="C92" t="inlineStr">
        <is>
          <t>Yes</t>
        </is>
      </c>
      <c r="D92" t="inlineStr">
        <is>
          <t>Yes</t>
        </is>
      </c>
      <c r="E92">
        <f>VLOOKUP(C92,CategoryMap,2,0)</f>
        <v/>
      </c>
      <c r="F92">
        <f>VLOOKUP(D92,CategoryMap,2,0)</f>
        <v/>
      </c>
      <c r="G92">
        <f>ABS(E92-F92)</f>
        <v/>
      </c>
      <c r="H92">
        <f>IF(G92=0,"Yes","No")</f>
        <v/>
      </c>
      <c r="I92" t="inlineStr">
        <is>
          <t>Yes</t>
        </is>
      </c>
      <c r="J92">
        <f>IF(I92="","",IF(AND(I92=C92,I92=D92),"Both",IF(I92=C92,"Opus",IF(I92=D92,"Sonnet","Neither"))))</f>
        <v/>
      </c>
    </row>
    <row r="93">
      <c r="A93" t="inlineStr">
        <is>
          <t>R033</t>
        </is>
      </c>
      <c r="B93" t="inlineStr">
        <is>
          <t>Q4</t>
        </is>
      </c>
      <c r="C93" t="inlineStr">
        <is>
          <t>Partial</t>
        </is>
      </c>
      <c r="D93" t="inlineStr">
        <is>
          <t>Partial</t>
        </is>
      </c>
      <c r="E93">
        <f>VLOOKUP(C93,CategoryMap,2,0)</f>
        <v/>
      </c>
      <c r="F93">
        <f>VLOOKUP(D93,CategoryMap,2,0)</f>
        <v/>
      </c>
      <c r="G93">
        <f>ABS(E93-F93)</f>
        <v/>
      </c>
      <c r="H93">
        <f>IF(G93=0,"Yes","No")</f>
        <v/>
      </c>
      <c r="I93" t="inlineStr">
        <is>
          <t>Partial</t>
        </is>
      </c>
      <c r="J93">
        <f>IF(I93="","",IF(AND(I93=C93,I93=D93),"Both",IF(I93=C93,"Opus",IF(I93=D93,"Sonnet","Neither"))))</f>
        <v/>
      </c>
    </row>
    <row r="94">
      <c r="A94" t="inlineStr">
        <is>
          <t>R033</t>
        </is>
      </c>
      <c r="B94" t="inlineStr">
        <is>
          <t>Q5</t>
        </is>
      </c>
      <c r="C94" t="inlineStr">
        <is>
          <t>Yes</t>
        </is>
      </c>
      <c r="D94" t="inlineStr">
        <is>
          <t>Yes</t>
        </is>
      </c>
      <c r="E94">
        <f>VLOOKUP(C94,CategoryMap,2,0)</f>
        <v/>
      </c>
      <c r="F94">
        <f>VLOOKUP(D94,CategoryMap,2,0)</f>
        <v/>
      </c>
      <c r="G94">
        <f>ABS(E94-F94)</f>
        <v/>
      </c>
      <c r="H94">
        <f>IF(G94=0,"Yes","No")</f>
        <v/>
      </c>
      <c r="I94" t="inlineStr">
        <is>
          <t>Yes</t>
        </is>
      </c>
      <c r="J94">
        <f>IF(I94="","",IF(AND(I94=C94,I94=D94),"Both",IF(I94=C94,"Opus",IF(I94=D94,"Sonnet","Neither"))))</f>
        <v/>
      </c>
    </row>
    <row r="95">
      <c r="A95" t="inlineStr">
        <is>
          <t>R033</t>
        </is>
      </c>
      <c r="B95" t="inlineStr">
        <is>
          <t>Q6</t>
        </is>
      </c>
      <c r="C95" t="inlineStr">
        <is>
          <t>Partial</t>
        </is>
      </c>
      <c r="D95" t="inlineStr">
        <is>
          <t>Yes</t>
        </is>
      </c>
      <c r="E95">
        <f>VLOOKUP(C95,CategoryMap,2,0)</f>
        <v/>
      </c>
      <c r="F95">
        <f>VLOOKUP(D95,CategoryMap,2,0)</f>
        <v/>
      </c>
      <c r="G95">
        <f>ABS(E95-F95)</f>
        <v/>
      </c>
      <c r="H95">
        <f>IF(G95=0,"Yes","No")</f>
        <v/>
      </c>
      <c r="I95" t="inlineStr">
        <is>
          <t>Yes</t>
        </is>
      </c>
      <c r="J95">
        <f>IF(I95="","",IF(AND(I95=C95,I95=D95),"Both",IF(I95=C95,"Opus",IF(I95=D95,"Sonnet","Neither"))))</f>
        <v/>
      </c>
    </row>
    <row r="96">
      <c r="A96" t="inlineStr">
        <is>
          <t>R033</t>
        </is>
      </c>
      <c r="B96" t="inlineStr">
        <is>
          <t>Q7</t>
        </is>
      </c>
      <c r="C96" t="inlineStr">
        <is>
          <t>Partial</t>
        </is>
      </c>
      <c r="D96" t="inlineStr">
        <is>
          <t>Yes</t>
        </is>
      </c>
      <c r="E96">
        <f>VLOOKUP(C96,CategoryMap,2,0)</f>
        <v/>
      </c>
      <c r="F96">
        <f>VLOOKUP(D96,CategoryMap,2,0)</f>
        <v/>
      </c>
      <c r="G96">
        <f>ABS(E96-F96)</f>
        <v/>
      </c>
      <c r="H96">
        <f>IF(G96=0,"Yes","No")</f>
        <v/>
      </c>
      <c r="I96" t="inlineStr">
        <is>
          <t>Yes</t>
        </is>
      </c>
      <c r="J96">
        <f>IF(I96="","",IF(AND(I96=C96,I96=D96),"Both",IF(I96=C96,"Opus",IF(I96=D96,"Sonnet","Neither"))))</f>
        <v/>
      </c>
    </row>
    <row r="97">
      <c r="A97" t="inlineStr">
        <is>
          <t>R033</t>
        </is>
      </c>
      <c r="B97" t="inlineStr">
        <is>
          <t>Q8</t>
        </is>
      </c>
      <c r="C97" t="inlineStr">
        <is>
          <t>Partial</t>
        </is>
      </c>
      <c r="D97" t="inlineStr">
        <is>
          <t>Partial</t>
        </is>
      </c>
      <c r="E97">
        <f>VLOOKUP(C97,CategoryMap,2,0)</f>
        <v/>
      </c>
      <c r="F97">
        <f>VLOOKUP(D97,CategoryMap,2,0)</f>
        <v/>
      </c>
      <c r="G97">
        <f>ABS(E97-F97)</f>
        <v/>
      </c>
      <c r="H97">
        <f>IF(G97=0,"Yes","No")</f>
        <v/>
      </c>
      <c r="I97" t="inlineStr">
        <is>
          <t>Partial</t>
        </is>
      </c>
      <c r="J97">
        <f>IF(I97="","",IF(AND(I97=C97,I97=D97),"Both",IF(I97=C97,"Opus",IF(I97=D97,"Sonnet","Neither"))))</f>
        <v/>
      </c>
    </row>
    <row r="98">
      <c r="A98" t="inlineStr">
        <is>
          <t>R043</t>
        </is>
      </c>
      <c r="B98" t="inlineStr">
        <is>
          <t>Q1</t>
        </is>
      </c>
      <c r="C98" t="inlineStr">
        <is>
          <t>No</t>
        </is>
      </c>
      <c r="D98" t="inlineStr">
        <is>
          <t>No</t>
        </is>
      </c>
      <c r="E98">
        <f>VLOOKUP(C98,CategoryMap,2,0)</f>
        <v/>
      </c>
      <c r="F98">
        <f>VLOOKUP(D98,CategoryMap,2,0)</f>
        <v/>
      </c>
      <c r="G98">
        <f>ABS(E98-F98)</f>
        <v/>
      </c>
      <c r="H98">
        <f>IF(G98=0,"Yes","No")</f>
        <v/>
      </c>
      <c r="I98" t="inlineStr">
        <is>
          <t>No</t>
        </is>
      </c>
      <c r="J98">
        <f>IF(I98="","",IF(AND(I98=C98,I98=D98),"Both",IF(I98=C98,"Opus",IF(I98=D98,"Sonnet","Neither"))))</f>
        <v/>
      </c>
    </row>
    <row r="99">
      <c r="A99" t="inlineStr">
        <is>
          <t>R043</t>
        </is>
      </c>
      <c r="B99" t="inlineStr">
        <is>
          <t>Q2</t>
        </is>
      </c>
      <c r="C99" t="inlineStr">
        <is>
          <t>Partial</t>
        </is>
      </c>
      <c r="D99" t="inlineStr">
        <is>
          <t>Partial</t>
        </is>
      </c>
      <c r="E99">
        <f>VLOOKUP(C99,CategoryMap,2,0)</f>
        <v/>
      </c>
      <c r="F99">
        <f>VLOOKUP(D99,CategoryMap,2,0)</f>
        <v/>
      </c>
      <c r="G99">
        <f>ABS(E99-F99)</f>
        <v/>
      </c>
      <c r="H99">
        <f>IF(G99=0,"Yes","No")</f>
        <v/>
      </c>
      <c r="I99" t="inlineStr">
        <is>
          <t>Partial</t>
        </is>
      </c>
      <c r="J99">
        <f>IF(I99="","",IF(AND(I99=C99,I99=D99),"Both",IF(I99=C99,"Opus",IF(I99=D99,"Sonnet","Neither"))))</f>
        <v/>
      </c>
    </row>
    <row r="100">
      <c r="A100" t="inlineStr">
        <is>
          <t>R043</t>
        </is>
      </c>
      <c r="B100" t="inlineStr">
        <is>
          <t>Q3</t>
        </is>
      </c>
      <c r="C100" t="inlineStr">
        <is>
          <t>Partial</t>
        </is>
      </c>
      <c r="D100" t="inlineStr">
        <is>
          <t>Partial</t>
        </is>
      </c>
      <c r="E100">
        <f>VLOOKUP(C100,CategoryMap,2,0)</f>
        <v/>
      </c>
      <c r="F100">
        <f>VLOOKUP(D100,CategoryMap,2,0)</f>
        <v/>
      </c>
      <c r="G100">
        <f>ABS(E100-F100)</f>
        <v/>
      </c>
      <c r="H100">
        <f>IF(G100=0,"Yes","No")</f>
        <v/>
      </c>
      <c r="I100" t="inlineStr">
        <is>
          <t>Partial</t>
        </is>
      </c>
      <c r="J100">
        <f>IF(I100="","",IF(AND(I100=C100,I100=D100),"Both",IF(I100=C100,"Opus",IF(I100=D100,"Sonnet","Neither"))))</f>
        <v/>
      </c>
    </row>
    <row r="101">
      <c r="A101" t="inlineStr">
        <is>
          <t>R043</t>
        </is>
      </c>
      <c r="B101" t="inlineStr">
        <is>
          <t>Q4</t>
        </is>
      </c>
      <c r="C101" t="inlineStr">
        <is>
          <t>No</t>
        </is>
      </c>
      <c r="D101" t="inlineStr">
        <is>
          <t>No</t>
        </is>
      </c>
      <c r="E101">
        <f>VLOOKUP(C101,CategoryMap,2,0)</f>
        <v/>
      </c>
      <c r="F101">
        <f>VLOOKUP(D101,CategoryMap,2,0)</f>
        <v/>
      </c>
      <c r="G101">
        <f>ABS(E101-F101)</f>
        <v/>
      </c>
      <c r="H101">
        <f>IF(G101=0,"Yes","No")</f>
        <v/>
      </c>
      <c r="I101" t="inlineStr">
        <is>
          <t>No</t>
        </is>
      </c>
      <c r="J101">
        <f>IF(I101="","",IF(AND(I101=C101,I101=D101),"Both",IF(I101=C101,"Opus",IF(I101=D101,"Sonnet","Neither"))))</f>
        <v/>
      </c>
    </row>
    <row r="102">
      <c r="A102" t="inlineStr">
        <is>
          <t>R043</t>
        </is>
      </c>
      <c r="B102" t="inlineStr">
        <is>
          <t>Q5</t>
        </is>
      </c>
      <c r="C102" t="inlineStr">
        <is>
          <t>No</t>
        </is>
      </c>
      <c r="D102" t="inlineStr">
        <is>
          <t>No</t>
        </is>
      </c>
      <c r="E102">
        <f>VLOOKUP(C102,CategoryMap,2,0)</f>
        <v/>
      </c>
      <c r="F102">
        <f>VLOOKUP(D102,CategoryMap,2,0)</f>
        <v/>
      </c>
      <c r="G102">
        <f>ABS(E102-F102)</f>
        <v/>
      </c>
      <c r="H102">
        <f>IF(G102=0,"Yes","No")</f>
        <v/>
      </c>
      <c r="I102" t="inlineStr">
        <is>
          <t>No</t>
        </is>
      </c>
      <c r="J102">
        <f>IF(I102="","",IF(AND(I102=C102,I102=D102),"Both",IF(I102=C102,"Opus",IF(I102=D102,"Sonnet","Neither"))))</f>
        <v/>
      </c>
    </row>
    <row r="103">
      <c r="A103" t="inlineStr">
        <is>
          <t>R043</t>
        </is>
      </c>
      <c r="B103" t="inlineStr">
        <is>
          <t>Q6</t>
        </is>
      </c>
      <c r="C103" t="inlineStr">
        <is>
          <t>No</t>
        </is>
      </c>
      <c r="D103" t="inlineStr">
        <is>
          <t>No</t>
        </is>
      </c>
      <c r="E103">
        <f>VLOOKUP(C103,CategoryMap,2,0)</f>
        <v/>
      </c>
      <c r="F103">
        <f>VLOOKUP(D103,CategoryMap,2,0)</f>
        <v/>
      </c>
      <c r="G103">
        <f>ABS(E103-F103)</f>
        <v/>
      </c>
      <c r="H103">
        <f>IF(G103=0,"Yes","No")</f>
        <v/>
      </c>
      <c r="I103" t="inlineStr">
        <is>
          <t>No</t>
        </is>
      </c>
      <c r="J103">
        <f>IF(I103="","",IF(AND(I103=C103,I103=D103),"Both",IF(I103=C103,"Opus",IF(I103=D103,"Sonnet","Neither"))))</f>
        <v/>
      </c>
    </row>
    <row r="104">
      <c r="A104" t="inlineStr">
        <is>
          <t>R043</t>
        </is>
      </c>
      <c r="B104" t="inlineStr">
        <is>
          <t>Q7</t>
        </is>
      </c>
      <c r="C104" t="inlineStr">
        <is>
          <t>No</t>
        </is>
      </c>
      <c r="D104" t="inlineStr">
        <is>
          <t>No</t>
        </is>
      </c>
      <c r="E104">
        <f>VLOOKUP(C104,CategoryMap,2,0)</f>
        <v/>
      </c>
      <c r="F104">
        <f>VLOOKUP(D104,CategoryMap,2,0)</f>
        <v/>
      </c>
      <c r="G104">
        <f>ABS(E104-F104)</f>
        <v/>
      </c>
      <c r="H104">
        <f>IF(G104=0,"Yes","No")</f>
        <v/>
      </c>
      <c r="I104" t="inlineStr">
        <is>
          <t>No</t>
        </is>
      </c>
      <c r="J104">
        <f>IF(I104="","",IF(AND(I104=C104,I104=D104),"Both",IF(I104=C104,"Opus",IF(I104=D104,"Sonnet","Neither"))))</f>
        <v/>
      </c>
    </row>
    <row r="105">
      <c r="A105" t="inlineStr">
        <is>
          <t>R043</t>
        </is>
      </c>
      <c r="B105" t="inlineStr">
        <is>
          <t>Q8</t>
        </is>
      </c>
      <c r="C105" t="inlineStr">
        <is>
          <t>Partial</t>
        </is>
      </c>
      <c r="D105" t="inlineStr">
        <is>
          <t>Partial</t>
        </is>
      </c>
      <c r="E105">
        <f>VLOOKUP(C105,CategoryMap,2,0)</f>
        <v/>
      </c>
      <c r="F105">
        <f>VLOOKUP(D105,CategoryMap,2,0)</f>
        <v/>
      </c>
      <c r="G105">
        <f>ABS(E105-F105)</f>
        <v/>
      </c>
      <c r="H105">
        <f>IF(G105=0,"Yes","No")</f>
        <v/>
      </c>
      <c r="I105" t="inlineStr">
        <is>
          <t>Partial</t>
        </is>
      </c>
      <c r="J105">
        <f>IF(I105="","",IF(AND(I105=C105,I105=D105),"Both",IF(I105=C105,"Opus",IF(I105=D105,"Sonnet","Neither"))))</f>
        <v/>
      </c>
    </row>
    <row r="106">
      <c r="A106" t="inlineStr">
        <is>
          <t>R045</t>
        </is>
      </c>
      <c r="B106" t="inlineStr">
        <is>
          <t>Q1</t>
        </is>
      </c>
      <c r="C106" t="inlineStr">
        <is>
          <t>Partial</t>
        </is>
      </c>
      <c r="D106" t="inlineStr">
        <is>
          <t>No</t>
        </is>
      </c>
      <c r="E106">
        <f>VLOOKUP(C106,CategoryMap,2,0)</f>
        <v/>
      </c>
      <c r="F106">
        <f>VLOOKUP(D106,CategoryMap,2,0)</f>
        <v/>
      </c>
      <c r="G106">
        <f>ABS(E106-F106)</f>
        <v/>
      </c>
      <c r="H106">
        <f>IF(G106=0,"Yes","No")</f>
        <v/>
      </c>
      <c r="I106" t="inlineStr">
        <is>
          <t>No</t>
        </is>
      </c>
      <c r="J106">
        <f>IF(I106="","",IF(AND(I106=C106,I106=D106),"Both",IF(I106=C106,"Opus",IF(I106=D106,"Sonnet","Neither"))))</f>
        <v/>
      </c>
    </row>
    <row r="107">
      <c r="A107" t="inlineStr">
        <is>
          <t>R045</t>
        </is>
      </c>
      <c r="B107" t="inlineStr">
        <is>
          <t>Q2</t>
        </is>
      </c>
      <c r="C107" t="inlineStr">
        <is>
          <t>No</t>
        </is>
      </c>
      <c r="D107" t="inlineStr">
        <is>
          <t>No</t>
        </is>
      </c>
      <c r="E107">
        <f>VLOOKUP(C107,CategoryMap,2,0)</f>
        <v/>
      </c>
      <c r="F107">
        <f>VLOOKUP(D107,CategoryMap,2,0)</f>
        <v/>
      </c>
      <c r="G107">
        <f>ABS(E107-F107)</f>
        <v/>
      </c>
      <c r="H107">
        <f>IF(G107=0,"Yes","No")</f>
        <v/>
      </c>
      <c r="I107" t="inlineStr">
        <is>
          <t>No</t>
        </is>
      </c>
      <c r="J107">
        <f>IF(I107="","",IF(AND(I107=C107,I107=D107),"Both",IF(I107=C107,"Opus",IF(I107=D107,"Sonnet","Neither"))))</f>
        <v/>
      </c>
    </row>
    <row r="108">
      <c r="A108" t="inlineStr">
        <is>
          <t>R045</t>
        </is>
      </c>
      <c r="B108" t="inlineStr">
        <is>
          <t>Q3</t>
        </is>
      </c>
      <c r="C108" t="inlineStr">
        <is>
          <t>Partial</t>
        </is>
      </c>
      <c r="D108" t="inlineStr">
        <is>
          <t>No</t>
        </is>
      </c>
      <c r="E108">
        <f>VLOOKUP(C108,CategoryMap,2,0)</f>
        <v/>
      </c>
      <c r="F108">
        <f>VLOOKUP(D108,CategoryMap,2,0)</f>
        <v/>
      </c>
      <c r="G108">
        <f>ABS(E108-F108)</f>
        <v/>
      </c>
      <c r="H108">
        <f>IF(G108=0,"Yes","No")</f>
        <v/>
      </c>
      <c r="I108" t="inlineStr">
        <is>
          <t>No</t>
        </is>
      </c>
      <c r="J108">
        <f>IF(I108="","",IF(AND(I108=C108,I108=D108),"Both",IF(I108=C108,"Opus",IF(I108=D108,"Sonnet","Neither"))))</f>
        <v/>
      </c>
    </row>
    <row r="109">
      <c r="A109" t="inlineStr">
        <is>
          <t>R045</t>
        </is>
      </c>
      <c r="B109" t="inlineStr">
        <is>
          <t>Q4</t>
        </is>
      </c>
      <c r="C109" t="inlineStr">
        <is>
          <t>Yes</t>
        </is>
      </c>
      <c r="D109" t="inlineStr">
        <is>
          <t>Yes</t>
        </is>
      </c>
      <c r="E109">
        <f>VLOOKUP(C109,CategoryMap,2,0)</f>
        <v/>
      </c>
      <c r="F109">
        <f>VLOOKUP(D109,CategoryMap,2,0)</f>
        <v/>
      </c>
      <c r="G109">
        <f>ABS(E109-F109)</f>
        <v/>
      </c>
      <c r="H109">
        <f>IF(G109=0,"Yes","No")</f>
        <v/>
      </c>
      <c r="I109" t="inlineStr">
        <is>
          <t>Yes</t>
        </is>
      </c>
      <c r="J109">
        <f>IF(I109="","",IF(AND(I109=C109,I109=D109),"Both",IF(I109=C109,"Opus",IF(I109=D109,"Sonnet","Neither"))))</f>
        <v/>
      </c>
    </row>
    <row r="110">
      <c r="A110" t="inlineStr">
        <is>
          <t>R045</t>
        </is>
      </c>
      <c r="B110" t="inlineStr">
        <is>
          <t>Q5</t>
        </is>
      </c>
      <c r="C110" t="inlineStr">
        <is>
          <t>Yes</t>
        </is>
      </c>
      <c r="D110" t="inlineStr">
        <is>
          <t>Yes</t>
        </is>
      </c>
      <c r="E110">
        <f>VLOOKUP(C110,CategoryMap,2,0)</f>
        <v/>
      </c>
      <c r="F110">
        <f>VLOOKUP(D110,CategoryMap,2,0)</f>
        <v/>
      </c>
      <c r="G110">
        <f>ABS(E110-F110)</f>
        <v/>
      </c>
      <c r="H110">
        <f>IF(G110=0,"Yes","No")</f>
        <v/>
      </c>
      <c r="I110" t="inlineStr">
        <is>
          <t>Yes</t>
        </is>
      </c>
      <c r="J110">
        <f>IF(I110="","",IF(AND(I110=C110,I110=D110),"Both",IF(I110=C110,"Opus",IF(I110=D110,"Sonnet","Neither"))))</f>
        <v/>
      </c>
    </row>
    <row r="111">
      <c r="A111" t="inlineStr">
        <is>
          <t>R045</t>
        </is>
      </c>
      <c r="B111" t="inlineStr">
        <is>
          <t>Q6</t>
        </is>
      </c>
      <c r="C111" t="inlineStr">
        <is>
          <t>Yes</t>
        </is>
      </c>
      <c r="D111" t="inlineStr">
        <is>
          <t>Yes</t>
        </is>
      </c>
      <c r="E111">
        <f>VLOOKUP(C111,CategoryMap,2,0)</f>
        <v/>
      </c>
      <c r="F111">
        <f>VLOOKUP(D111,CategoryMap,2,0)</f>
        <v/>
      </c>
      <c r="G111">
        <f>ABS(E111-F111)</f>
        <v/>
      </c>
      <c r="H111">
        <f>IF(G111=0,"Yes","No")</f>
        <v/>
      </c>
      <c r="I111" t="inlineStr">
        <is>
          <t>Yes</t>
        </is>
      </c>
      <c r="J111">
        <f>IF(I111="","",IF(AND(I111=C111,I111=D111),"Both",IF(I111=C111,"Opus",IF(I111=D111,"Sonnet","Neither"))))</f>
        <v/>
      </c>
    </row>
    <row r="112">
      <c r="A112" t="inlineStr">
        <is>
          <t>R045</t>
        </is>
      </c>
      <c r="B112" t="inlineStr">
        <is>
          <t>Q7</t>
        </is>
      </c>
      <c r="C112" t="inlineStr">
        <is>
          <t>Yes</t>
        </is>
      </c>
      <c r="D112" t="inlineStr">
        <is>
          <t>Yes</t>
        </is>
      </c>
      <c r="E112">
        <f>VLOOKUP(C112,CategoryMap,2,0)</f>
        <v/>
      </c>
      <c r="F112">
        <f>VLOOKUP(D112,CategoryMap,2,0)</f>
        <v/>
      </c>
      <c r="G112">
        <f>ABS(E112-F112)</f>
        <v/>
      </c>
      <c r="H112">
        <f>IF(G112=0,"Yes","No")</f>
        <v/>
      </c>
      <c r="I112" t="inlineStr">
        <is>
          <t>Yes</t>
        </is>
      </c>
      <c r="J112">
        <f>IF(I112="","",IF(AND(I112=C112,I112=D112),"Both",IF(I112=C112,"Opus",IF(I112=D112,"Sonnet","Neither"))))</f>
        <v/>
      </c>
    </row>
    <row r="113">
      <c r="A113" t="inlineStr">
        <is>
          <t>R045</t>
        </is>
      </c>
      <c r="B113" t="inlineStr">
        <is>
          <t>Q8</t>
        </is>
      </c>
      <c r="C113" t="inlineStr">
        <is>
          <t>Partial</t>
        </is>
      </c>
      <c r="D113" t="inlineStr">
        <is>
          <t>No</t>
        </is>
      </c>
      <c r="E113">
        <f>VLOOKUP(C113,CategoryMap,2,0)</f>
        <v/>
      </c>
      <c r="F113">
        <f>VLOOKUP(D113,CategoryMap,2,0)</f>
        <v/>
      </c>
      <c r="G113">
        <f>ABS(E113-F113)</f>
        <v/>
      </c>
      <c r="H113">
        <f>IF(G113=0,"Yes","No")</f>
        <v/>
      </c>
      <c r="I113" t="inlineStr">
        <is>
          <t>Partial</t>
        </is>
      </c>
      <c r="J113">
        <f>IF(I113="","",IF(AND(I113=C113,I113=D113),"Both",IF(I113=C113,"Opus",IF(I113=D113,"Sonnet","Neither"))))</f>
        <v/>
      </c>
    </row>
    <row r="114">
      <c r="A114" t="inlineStr">
        <is>
          <t>R049</t>
        </is>
      </c>
      <c r="B114" t="inlineStr">
        <is>
          <t>Q1</t>
        </is>
      </c>
      <c r="C114" t="inlineStr">
        <is>
          <t>No</t>
        </is>
      </c>
      <c r="D114" t="inlineStr">
        <is>
          <t>No</t>
        </is>
      </c>
      <c r="E114">
        <f>VLOOKUP(C114,CategoryMap,2,0)</f>
        <v/>
      </c>
      <c r="F114">
        <f>VLOOKUP(D114,CategoryMap,2,0)</f>
        <v/>
      </c>
      <c r="G114">
        <f>ABS(E114-F114)</f>
        <v/>
      </c>
      <c r="H114">
        <f>IF(G114=0,"Yes","No")</f>
        <v/>
      </c>
      <c r="I114" t="inlineStr">
        <is>
          <t>No</t>
        </is>
      </c>
      <c r="J114">
        <f>IF(I114="","",IF(AND(I114=C114,I114=D114),"Both",IF(I114=C114,"Opus",IF(I114=D114,"Sonnet","Neither"))))</f>
        <v/>
      </c>
    </row>
    <row r="115">
      <c r="A115" t="inlineStr">
        <is>
          <t>R049</t>
        </is>
      </c>
      <c r="B115" t="inlineStr">
        <is>
          <t>Q2</t>
        </is>
      </c>
      <c r="C115" t="inlineStr">
        <is>
          <t>No</t>
        </is>
      </c>
      <c r="D115" t="inlineStr">
        <is>
          <t>No</t>
        </is>
      </c>
      <c r="E115">
        <f>VLOOKUP(C115,CategoryMap,2,0)</f>
        <v/>
      </c>
      <c r="F115">
        <f>VLOOKUP(D115,CategoryMap,2,0)</f>
        <v/>
      </c>
      <c r="G115">
        <f>ABS(E115-F115)</f>
        <v/>
      </c>
      <c r="H115">
        <f>IF(G115=0,"Yes","No")</f>
        <v/>
      </c>
      <c r="I115" t="inlineStr">
        <is>
          <t>No</t>
        </is>
      </c>
      <c r="J115">
        <f>IF(I115="","",IF(AND(I115=C115,I115=D115),"Both",IF(I115=C115,"Opus",IF(I115=D115,"Sonnet","Neither"))))</f>
        <v/>
      </c>
    </row>
    <row r="116">
      <c r="A116" t="inlineStr">
        <is>
          <t>R049</t>
        </is>
      </c>
      <c r="B116" t="inlineStr">
        <is>
          <t>Q3</t>
        </is>
      </c>
      <c r="C116" t="inlineStr">
        <is>
          <t>No</t>
        </is>
      </c>
      <c r="D116" t="inlineStr">
        <is>
          <t>No</t>
        </is>
      </c>
      <c r="E116">
        <f>VLOOKUP(C116,CategoryMap,2,0)</f>
        <v/>
      </c>
      <c r="F116">
        <f>VLOOKUP(D116,CategoryMap,2,0)</f>
        <v/>
      </c>
      <c r="G116">
        <f>ABS(E116-F116)</f>
        <v/>
      </c>
      <c r="H116">
        <f>IF(G116=0,"Yes","No")</f>
        <v/>
      </c>
      <c r="I116" t="inlineStr">
        <is>
          <t>No</t>
        </is>
      </c>
      <c r="J116">
        <f>IF(I116="","",IF(AND(I116=C116,I116=D116),"Both",IF(I116=C116,"Opus",IF(I116=D116,"Sonnet","Neither"))))</f>
        <v/>
      </c>
    </row>
    <row r="117">
      <c r="A117" t="inlineStr">
        <is>
          <t>R049</t>
        </is>
      </c>
      <c r="B117" t="inlineStr">
        <is>
          <t>Q4</t>
        </is>
      </c>
      <c r="C117" t="inlineStr">
        <is>
          <t>Partial</t>
        </is>
      </c>
      <c r="D117" t="inlineStr">
        <is>
          <t>Partial</t>
        </is>
      </c>
      <c r="E117">
        <f>VLOOKUP(C117,CategoryMap,2,0)</f>
        <v/>
      </c>
      <c r="F117">
        <f>VLOOKUP(D117,CategoryMap,2,0)</f>
        <v/>
      </c>
      <c r="G117">
        <f>ABS(E117-F117)</f>
        <v/>
      </c>
      <c r="H117">
        <f>IF(G117=0,"Yes","No")</f>
        <v/>
      </c>
      <c r="I117" t="inlineStr">
        <is>
          <t>Partial</t>
        </is>
      </c>
      <c r="J117">
        <f>IF(I117="","",IF(AND(I117=C117,I117=D117),"Both",IF(I117=C117,"Opus",IF(I117=D117,"Sonnet","Neither"))))</f>
        <v/>
      </c>
    </row>
    <row r="118">
      <c r="A118" t="inlineStr">
        <is>
          <t>R049</t>
        </is>
      </c>
      <c r="B118" t="inlineStr">
        <is>
          <t>Q5</t>
        </is>
      </c>
      <c r="C118" t="inlineStr">
        <is>
          <t>Partial</t>
        </is>
      </c>
      <c r="D118" t="inlineStr">
        <is>
          <t>Yes</t>
        </is>
      </c>
      <c r="E118">
        <f>VLOOKUP(C118,CategoryMap,2,0)</f>
        <v/>
      </c>
      <c r="F118">
        <f>VLOOKUP(D118,CategoryMap,2,0)</f>
        <v/>
      </c>
      <c r="G118">
        <f>ABS(E118-F118)</f>
        <v/>
      </c>
      <c r="H118">
        <f>IF(G118=0,"Yes","No")</f>
        <v/>
      </c>
      <c r="I118" t="inlineStr">
        <is>
          <t>Yes</t>
        </is>
      </c>
      <c r="J118">
        <f>IF(I118="","",IF(AND(I118=C118,I118=D118),"Both",IF(I118=C118,"Opus",IF(I118=D118,"Sonnet","Neither"))))</f>
        <v/>
      </c>
    </row>
    <row r="119">
      <c r="A119" t="inlineStr">
        <is>
          <t>R049</t>
        </is>
      </c>
      <c r="B119" t="inlineStr">
        <is>
          <t>Q6</t>
        </is>
      </c>
      <c r="C119" t="inlineStr">
        <is>
          <t>Partial</t>
        </is>
      </c>
      <c r="D119" t="inlineStr">
        <is>
          <t>Partial</t>
        </is>
      </c>
      <c r="E119">
        <f>VLOOKUP(C119,CategoryMap,2,0)</f>
        <v/>
      </c>
      <c r="F119">
        <f>VLOOKUP(D119,CategoryMap,2,0)</f>
        <v/>
      </c>
      <c r="G119">
        <f>ABS(E119-F119)</f>
        <v/>
      </c>
      <c r="H119">
        <f>IF(G119=0,"Yes","No")</f>
        <v/>
      </c>
      <c r="I119" t="inlineStr">
        <is>
          <t>Partial</t>
        </is>
      </c>
      <c r="J119">
        <f>IF(I119="","",IF(AND(I119=C119,I119=D119),"Both",IF(I119=C119,"Opus",IF(I119=D119,"Sonnet","Neither"))))</f>
        <v/>
      </c>
    </row>
    <row r="120">
      <c r="A120" t="inlineStr">
        <is>
          <t>R049</t>
        </is>
      </c>
      <c r="B120" t="inlineStr">
        <is>
          <t>Q7</t>
        </is>
      </c>
      <c r="C120" t="inlineStr">
        <is>
          <t>Yes</t>
        </is>
      </c>
      <c r="D120" t="inlineStr">
        <is>
          <t>Yes</t>
        </is>
      </c>
      <c r="E120">
        <f>VLOOKUP(C120,CategoryMap,2,0)</f>
        <v/>
      </c>
      <c r="F120">
        <f>VLOOKUP(D120,CategoryMap,2,0)</f>
        <v/>
      </c>
      <c r="G120">
        <f>ABS(E120-F120)</f>
        <v/>
      </c>
      <c r="H120">
        <f>IF(G120=0,"Yes","No")</f>
        <v/>
      </c>
      <c r="I120" t="inlineStr">
        <is>
          <t>Yes</t>
        </is>
      </c>
      <c r="J120">
        <f>IF(I120="","",IF(AND(I120=C120,I120=D120),"Both",IF(I120=C120,"Opus",IF(I120=D120,"Sonnet","Neither"))))</f>
        <v/>
      </c>
    </row>
    <row r="121">
      <c r="A121" t="inlineStr">
        <is>
          <t>R049</t>
        </is>
      </c>
      <c r="B121" t="inlineStr">
        <is>
          <t>Q8</t>
        </is>
      </c>
      <c r="C121" t="inlineStr">
        <is>
          <t>No</t>
        </is>
      </c>
      <c r="D121" t="inlineStr">
        <is>
          <t>No</t>
        </is>
      </c>
      <c r="E121">
        <f>VLOOKUP(C121,CategoryMap,2,0)</f>
        <v/>
      </c>
      <c r="F121">
        <f>VLOOKUP(D121,CategoryMap,2,0)</f>
        <v/>
      </c>
      <c r="G121">
        <f>ABS(E121-F121)</f>
        <v/>
      </c>
      <c r="H121">
        <f>IF(G121=0,"Yes","No")</f>
        <v/>
      </c>
      <c r="I121" t="inlineStr">
        <is>
          <t>No</t>
        </is>
      </c>
      <c r="J121">
        <f>IF(I121="","",IF(AND(I121=C121,I121=D121),"Both",IF(I121=C121,"Opus",IF(I121=D121,"Sonnet","Neither"))))</f>
        <v/>
      </c>
    </row>
    <row r="122">
      <c r="A122" t="inlineStr">
        <is>
          <t>R050</t>
        </is>
      </c>
      <c r="B122" t="inlineStr">
        <is>
          <t>Q1</t>
        </is>
      </c>
      <c r="C122" t="inlineStr">
        <is>
          <t>Partial</t>
        </is>
      </c>
      <c r="D122" t="inlineStr">
        <is>
          <t>No</t>
        </is>
      </c>
      <c r="E122">
        <f>VLOOKUP(C122,CategoryMap,2,0)</f>
        <v/>
      </c>
      <c r="F122">
        <f>VLOOKUP(D122,CategoryMap,2,0)</f>
        <v/>
      </c>
      <c r="G122">
        <f>ABS(E122-F122)</f>
        <v/>
      </c>
      <c r="H122">
        <f>IF(G122=0,"Yes","No")</f>
        <v/>
      </c>
      <c r="I122" t="inlineStr">
        <is>
          <t>No</t>
        </is>
      </c>
      <c r="J122">
        <f>IF(I122="","",IF(AND(I122=C122,I122=D122),"Both",IF(I122=C122,"Opus",IF(I122=D122,"Sonnet","Neither"))))</f>
        <v/>
      </c>
    </row>
    <row r="123">
      <c r="A123" t="inlineStr">
        <is>
          <t>R050</t>
        </is>
      </c>
      <c r="B123" t="inlineStr">
        <is>
          <t>Q2</t>
        </is>
      </c>
      <c r="C123" t="inlineStr">
        <is>
          <t>Partial</t>
        </is>
      </c>
      <c r="D123" t="inlineStr">
        <is>
          <t>No</t>
        </is>
      </c>
      <c r="E123">
        <f>VLOOKUP(C123,CategoryMap,2,0)</f>
        <v/>
      </c>
      <c r="F123">
        <f>VLOOKUP(D123,CategoryMap,2,0)</f>
        <v/>
      </c>
      <c r="G123">
        <f>ABS(E123-F123)</f>
        <v/>
      </c>
      <c r="H123">
        <f>IF(G123=0,"Yes","No")</f>
        <v/>
      </c>
      <c r="I123" t="inlineStr">
        <is>
          <t>No</t>
        </is>
      </c>
      <c r="J123">
        <f>IF(I123="","",IF(AND(I123=C123,I123=D123),"Both",IF(I123=C123,"Opus",IF(I123=D123,"Sonnet","Neither"))))</f>
        <v/>
      </c>
    </row>
    <row r="124">
      <c r="A124" t="inlineStr">
        <is>
          <t>R050</t>
        </is>
      </c>
      <c r="B124" t="inlineStr">
        <is>
          <t>Q3</t>
        </is>
      </c>
      <c r="C124" t="inlineStr">
        <is>
          <t>Partial</t>
        </is>
      </c>
      <c r="D124" t="inlineStr">
        <is>
          <t>No</t>
        </is>
      </c>
      <c r="E124">
        <f>VLOOKUP(C124,CategoryMap,2,0)</f>
        <v/>
      </c>
      <c r="F124">
        <f>VLOOKUP(D124,CategoryMap,2,0)</f>
        <v/>
      </c>
      <c r="G124">
        <f>ABS(E124-F124)</f>
        <v/>
      </c>
      <c r="H124">
        <f>IF(G124=0,"Yes","No")</f>
        <v/>
      </c>
      <c r="I124" t="inlineStr">
        <is>
          <t>Partial</t>
        </is>
      </c>
      <c r="J124">
        <f>IF(I124="","",IF(AND(I124=C124,I124=D124),"Both",IF(I124=C124,"Opus",IF(I124=D124,"Sonnet","Neither"))))</f>
        <v/>
      </c>
    </row>
    <row r="125">
      <c r="A125" t="inlineStr">
        <is>
          <t>R050</t>
        </is>
      </c>
      <c r="B125" t="inlineStr">
        <is>
          <t>Q4</t>
        </is>
      </c>
      <c r="C125" t="inlineStr">
        <is>
          <t>Partial</t>
        </is>
      </c>
      <c r="D125" t="inlineStr">
        <is>
          <t>Yes</t>
        </is>
      </c>
      <c r="E125">
        <f>VLOOKUP(C125,CategoryMap,2,0)</f>
        <v/>
      </c>
      <c r="F125">
        <f>VLOOKUP(D125,CategoryMap,2,0)</f>
        <v/>
      </c>
      <c r="G125">
        <f>ABS(E125-F125)</f>
        <v/>
      </c>
      <c r="H125">
        <f>IF(G125=0,"Yes","No")</f>
        <v/>
      </c>
      <c r="I125" t="inlineStr">
        <is>
          <t>Partial</t>
        </is>
      </c>
      <c r="J125">
        <f>IF(I125="","",IF(AND(I125=C125,I125=D125),"Both",IF(I125=C125,"Opus",IF(I125=D125,"Sonnet","Neither"))))</f>
        <v/>
      </c>
    </row>
    <row r="126">
      <c r="A126" t="inlineStr">
        <is>
          <t>R050</t>
        </is>
      </c>
      <c r="B126" t="inlineStr">
        <is>
          <t>Q5</t>
        </is>
      </c>
      <c r="C126" t="inlineStr">
        <is>
          <t>Yes</t>
        </is>
      </c>
      <c r="D126" t="inlineStr">
        <is>
          <t>Yes</t>
        </is>
      </c>
      <c r="E126">
        <f>VLOOKUP(C126,CategoryMap,2,0)</f>
        <v/>
      </c>
      <c r="F126">
        <f>VLOOKUP(D126,CategoryMap,2,0)</f>
        <v/>
      </c>
      <c r="G126">
        <f>ABS(E126-F126)</f>
        <v/>
      </c>
      <c r="H126">
        <f>IF(G126=0,"Yes","No")</f>
        <v/>
      </c>
      <c r="I126" t="inlineStr">
        <is>
          <t>Yes</t>
        </is>
      </c>
      <c r="J126">
        <f>IF(I126="","",IF(AND(I126=C126,I126=D126),"Both",IF(I126=C126,"Opus",IF(I126=D126,"Sonnet","Neither"))))</f>
        <v/>
      </c>
    </row>
    <row r="127">
      <c r="A127" t="inlineStr">
        <is>
          <t>R050</t>
        </is>
      </c>
      <c r="B127" t="inlineStr">
        <is>
          <t>Q6</t>
        </is>
      </c>
      <c r="C127" t="inlineStr">
        <is>
          <t>Yes</t>
        </is>
      </c>
      <c r="D127" t="inlineStr">
        <is>
          <t>Yes</t>
        </is>
      </c>
      <c r="E127">
        <f>VLOOKUP(C127,CategoryMap,2,0)</f>
        <v/>
      </c>
      <c r="F127">
        <f>VLOOKUP(D127,CategoryMap,2,0)</f>
        <v/>
      </c>
      <c r="G127">
        <f>ABS(E127-F127)</f>
        <v/>
      </c>
      <c r="H127">
        <f>IF(G127=0,"Yes","No")</f>
        <v/>
      </c>
      <c r="I127" t="inlineStr">
        <is>
          <t>Yes</t>
        </is>
      </c>
      <c r="J127">
        <f>IF(I127="","",IF(AND(I127=C127,I127=D127),"Both",IF(I127=C127,"Opus",IF(I127=D127,"Sonnet","Neither"))))</f>
        <v/>
      </c>
    </row>
    <row r="128">
      <c r="A128" t="inlineStr">
        <is>
          <t>R050</t>
        </is>
      </c>
      <c r="B128" t="inlineStr">
        <is>
          <t>Q7</t>
        </is>
      </c>
      <c r="C128" t="inlineStr">
        <is>
          <t>Yes</t>
        </is>
      </c>
      <c r="D128" t="inlineStr">
        <is>
          <t>Yes</t>
        </is>
      </c>
      <c r="E128">
        <f>VLOOKUP(C128,CategoryMap,2,0)</f>
        <v/>
      </c>
      <c r="F128">
        <f>VLOOKUP(D128,CategoryMap,2,0)</f>
        <v/>
      </c>
      <c r="G128">
        <f>ABS(E128-F128)</f>
        <v/>
      </c>
      <c r="H128">
        <f>IF(G128=0,"Yes","No")</f>
        <v/>
      </c>
      <c r="I128" t="inlineStr">
        <is>
          <t>Yes</t>
        </is>
      </c>
      <c r="J128">
        <f>IF(I128="","",IF(AND(I128=C128,I128=D128),"Both",IF(I128=C128,"Opus",IF(I128=D128,"Sonnet","Neither"))))</f>
        <v/>
      </c>
    </row>
    <row r="129">
      <c r="A129" t="inlineStr">
        <is>
          <t>R050</t>
        </is>
      </c>
      <c r="B129" t="inlineStr">
        <is>
          <t>Q8</t>
        </is>
      </c>
      <c r="C129" t="inlineStr">
        <is>
          <t>No</t>
        </is>
      </c>
      <c r="D129" t="inlineStr">
        <is>
          <t>No</t>
        </is>
      </c>
      <c r="E129">
        <f>VLOOKUP(C129,CategoryMap,2,0)</f>
        <v/>
      </c>
      <c r="F129">
        <f>VLOOKUP(D129,CategoryMap,2,0)</f>
        <v/>
      </c>
      <c r="G129">
        <f>ABS(E129-F129)</f>
        <v/>
      </c>
      <c r="H129">
        <f>IF(G129=0,"Yes","No")</f>
        <v/>
      </c>
      <c r="I129" t="inlineStr">
        <is>
          <t>No</t>
        </is>
      </c>
      <c r="J129">
        <f>IF(I129="","",IF(AND(I129=C129,I129=D129),"Both",IF(I129=C129,"Opus",IF(I129=D129,"Sonnet","Neither"))))</f>
        <v/>
      </c>
    </row>
    <row r="130">
      <c r="A130" t="inlineStr">
        <is>
          <t>R055</t>
        </is>
      </c>
      <c r="B130" t="inlineStr">
        <is>
          <t>Q1</t>
        </is>
      </c>
      <c r="C130" t="inlineStr">
        <is>
          <t>Partial</t>
        </is>
      </c>
      <c r="D130" t="inlineStr">
        <is>
          <t>No</t>
        </is>
      </c>
      <c r="E130">
        <f>VLOOKUP(C130,CategoryMap,2,0)</f>
        <v/>
      </c>
      <c r="F130">
        <f>VLOOKUP(D130,CategoryMap,2,0)</f>
        <v/>
      </c>
      <c r="G130">
        <f>ABS(E130-F130)</f>
        <v/>
      </c>
      <c r="H130">
        <f>IF(G130=0,"Yes","No")</f>
        <v/>
      </c>
      <c r="I130" t="inlineStr">
        <is>
          <t>No</t>
        </is>
      </c>
      <c r="J130">
        <f>IF(I130="","",IF(AND(I130=C130,I130=D130),"Both",IF(I130=C130,"Opus",IF(I130=D130,"Sonnet","Neither"))))</f>
        <v/>
      </c>
    </row>
    <row r="131">
      <c r="A131" t="inlineStr">
        <is>
          <t>R055</t>
        </is>
      </c>
      <c r="B131" t="inlineStr">
        <is>
          <t>Q2</t>
        </is>
      </c>
      <c r="C131" t="inlineStr">
        <is>
          <t>No</t>
        </is>
      </c>
      <c r="D131" t="inlineStr">
        <is>
          <t>No</t>
        </is>
      </c>
      <c r="E131">
        <f>VLOOKUP(C131,CategoryMap,2,0)</f>
        <v/>
      </c>
      <c r="F131">
        <f>VLOOKUP(D131,CategoryMap,2,0)</f>
        <v/>
      </c>
      <c r="G131">
        <f>ABS(E131-F131)</f>
        <v/>
      </c>
      <c r="H131">
        <f>IF(G131=0,"Yes","No")</f>
        <v/>
      </c>
      <c r="I131" t="inlineStr">
        <is>
          <t>No</t>
        </is>
      </c>
      <c r="J131">
        <f>IF(I131="","",IF(AND(I131=C131,I131=D131),"Both",IF(I131=C131,"Opus",IF(I131=D131,"Sonnet","Neither"))))</f>
        <v/>
      </c>
    </row>
    <row r="132">
      <c r="A132" t="inlineStr">
        <is>
          <t>R055</t>
        </is>
      </c>
      <c r="B132" t="inlineStr">
        <is>
          <t>Q3</t>
        </is>
      </c>
      <c r="C132" t="inlineStr">
        <is>
          <t>Yes</t>
        </is>
      </c>
      <c r="D132" t="inlineStr">
        <is>
          <t>Partial</t>
        </is>
      </c>
      <c r="E132">
        <f>VLOOKUP(C132,CategoryMap,2,0)</f>
        <v/>
      </c>
      <c r="F132">
        <f>VLOOKUP(D132,CategoryMap,2,0)</f>
        <v/>
      </c>
      <c r="G132">
        <f>ABS(E132-F132)</f>
        <v/>
      </c>
      <c r="H132">
        <f>IF(G132=0,"Yes","No")</f>
        <v/>
      </c>
      <c r="I132" t="inlineStr">
        <is>
          <t>Yes</t>
        </is>
      </c>
      <c r="J132">
        <f>IF(I132="","",IF(AND(I132=C132,I132=D132),"Both",IF(I132=C132,"Opus",IF(I132=D132,"Sonnet","Neither"))))</f>
        <v/>
      </c>
    </row>
    <row r="133">
      <c r="A133" t="inlineStr">
        <is>
          <t>R055</t>
        </is>
      </c>
      <c r="B133" t="inlineStr">
        <is>
          <t>Q4</t>
        </is>
      </c>
      <c r="C133" t="inlineStr">
        <is>
          <t>Partial</t>
        </is>
      </c>
      <c r="D133" t="inlineStr">
        <is>
          <t>Partial</t>
        </is>
      </c>
      <c r="E133">
        <f>VLOOKUP(C133,CategoryMap,2,0)</f>
        <v/>
      </c>
      <c r="F133">
        <f>VLOOKUP(D133,CategoryMap,2,0)</f>
        <v/>
      </c>
      <c r="G133">
        <f>ABS(E133-F133)</f>
        <v/>
      </c>
      <c r="H133">
        <f>IF(G133=0,"Yes","No")</f>
        <v/>
      </c>
      <c r="I133" t="inlineStr">
        <is>
          <t>Partial</t>
        </is>
      </c>
      <c r="J133">
        <f>IF(I133="","",IF(AND(I133=C133,I133=D133),"Both",IF(I133=C133,"Opus",IF(I133=D133,"Sonnet","Neither"))))</f>
        <v/>
      </c>
    </row>
    <row r="134">
      <c r="A134" t="inlineStr">
        <is>
          <t>R055</t>
        </is>
      </c>
      <c r="B134" t="inlineStr">
        <is>
          <t>Q5</t>
        </is>
      </c>
      <c r="C134" t="inlineStr">
        <is>
          <t>No</t>
        </is>
      </c>
      <c r="D134" t="inlineStr">
        <is>
          <t>No</t>
        </is>
      </c>
      <c r="E134">
        <f>VLOOKUP(C134,CategoryMap,2,0)</f>
        <v/>
      </c>
      <c r="F134">
        <f>VLOOKUP(D134,CategoryMap,2,0)</f>
        <v/>
      </c>
      <c r="G134">
        <f>ABS(E134-F134)</f>
        <v/>
      </c>
      <c r="H134">
        <f>IF(G134=0,"Yes","No")</f>
        <v/>
      </c>
      <c r="I134" t="inlineStr">
        <is>
          <t>No</t>
        </is>
      </c>
      <c r="J134">
        <f>IF(I134="","",IF(AND(I134=C134,I134=D134),"Both",IF(I134=C134,"Opus",IF(I134=D134,"Sonnet","Neither"))))</f>
        <v/>
      </c>
    </row>
    <row r="135">
      <c r="A135" t="inlineStr">
        <is>
          <t>R055</t>
        </is>
      </c>
      <c r="B135" t="inlineStr">
        <is>
          <t>Q6</t>
        </is>
      </c>
      <c r="C135" t="inlineStr">
        <is>
          <t>Partial</t>
        </is>
      </c>
      <c r="D135" t="inlineStr">
        <is>
          <t>No</t>
        </is>
      </c>
      <c r="E135">
        <f>VLOOKUP(C135,CategoryMap,2,0)</f>
        <v/>
      </c>
      <c r="F135">
        <f>VLOOKUP(D135,CategoryMap,2,0)</f>
        <v/>
      </c>
      <c r="G135">
        <f>ABS(E135-F135)</f>
        <v/>
      </c>
      <c r="H135">
        <f>IF(G135=0,"Yes","No")</f>
        <v/>
      </c>
      <c r="I135" t="inlineStr">
        <is>
          <t>No</t>
        </is>
      </c>
      <c r="J135">
        <f>IF(I135="","",IF(AND(I135=C135,I135=D135),"Both",IF(I135=C135,"Opus",IF(I135=D135,"Sonnet","Neither"))))</f>
        <v/>
      </c>
    </row>
    <row r="136">
      <c r="A136" t="inlineStr">
        <is>
          <t>R055</t>
        </is>
      </c>
      <c r="B136" t="inlineStr">
        <is>
          <t>Q7</t>
        </is>
      </c>
      <c r="C136" t="inlineStr">
        <is>
          <t>Yes</t>
        </is>
      </c>
      <c r="D136" t="inlineStr">
        <is>
          <t>Yes</t>
        </is>
      </c>
      <c r="E136">
        <f>VLOOKUP(C136,CategoryMap,2,0)</f>
        <v/>
      </c>
      <c r="F136">
        <f>VLOOKUP(D136,CategoryMap,2,0)</f>
        <v/>
      </c>
      <c r="G136">
        <f>ABS(E136-F136)</f>
        <v/>
      </c>
      <c r="H136">
        <f>IF(G136=0,"Yes","No")</f>
        <v/>
      </c>
      <c r="I136" t="inlineStr">
        <is>
          <t>Yes</t>
        </is>
      </c>
      <c r="J136">
        <f>IF(I136="","",IF(AND(I136=C136,I136=D136),"Both",IF(I136=C136,"Opus",IF(I136=D136,"Sonnet","Neither"))))</f>
        <v/>
      </c>
    </row>
    <row r="137">
      <c r="A137" t="inlineStr">
        <is>
          <t>R055</t>
        </is>
      </c>
      <c r="B137" t="inlineStr">
        <is>
          <t>Q8</t>
        </is>
      </c>
      <c r="C137" t="inlineStr">
        <is>
          <t>Partial</t>
        </is>
      </c>
      <c r="D137" t="inlineStr">
        <is>
          <t>No</t>
        </is>
      </c>
      <c r="E137">
        <f>VLOOKUP(C137,CategoryMap,2,0)</f>
        <v/>
      </c>
      <c r="F137">
        <f>VLOOKUP(D137,CategoryMap,2,0)</f>
        <v/>
      </c>
      <c r="G137">
        <f>ABS(E137-F137)</f>
        <v/>
      </c>
      <c r="H137">
        <f>IF(G137=0,"Yes","No")</f>
        <v/>
      </c>
      <c r="I137" t="inlineStr">
        <is>
          <t>No</t>
        </is>
      </c>
      <c r="J137">
        <f>IF(I137="","",IF(AND(I137=C137,I137=D137),"Both",IF(I137=C137,"Opus",IF(I137=D137,"Sonnet","Neither"))))</f>
        <v/>
      </c>
    </row>
    <row r="138">
      <c r="A138" t="inlineStr">
        <is>
          <t>R059</t>
        </is>
      </c>
      <c r="B138" t="inlineStr">
        <is>
          <t>Q1</t>
        </is>
      </c>
      <c r="C138" t="inlineStr">
        <is>
          <t>No</t>
        </is>
      </c>
      <c r="D138" t="inlineStr">
        <is>
          <t>No</t>
        </is>
      </c>
      <c r="E138">
        <f>VLOOKUP(C138,CategoryMap,2,0)</f>
        <v/>
      </c>
      <c r="F138">
        <f>VLOOKUP(D138,CategoryMap,2,0)</f>
        <v/>
      </c>
      <c r="G138">
        <f>ABS(E138-F138)</f>
        <v/>
      </c>
      <c r="H138">
        <f>IF(G138=0,"Yes","No")</f>
        <v/>
      </c>
      <c r="I138" t="inlineStr">
        <is>
          <t>No</t>
        </is>
      </c>
      <c r="J138">
        <f>IF(I138="","",IF(AND(I138=C138,I138=D138),"Both",IF(I138=C138,"Opus",IF(I138=D138,"Sonnet","Neither"))))</f>
        <v/>
      </c>
    </row>
    <row r="139">
      <c r="A139" t="inlineStr">
        <is>
          <t>R059</t>
        </is>
      </c>
      <c r="B139" t="inlineStr">
        <is>
          <t>Q2</t>
        </is>
      </c>
      <c r="C139" t="inlineStr">
        <is>
          <t>Partial</t>
        </is>
      </c>
      <c r="D139" t="inlineStr">
        <is>
          <t>No</t>
        </is>
      </c>
      <c r="E139">
        <f>VLOOKUP(C139,CategoryMap,2,0)</f>
        <v/>
      </c>
      <c r="F139">
        <f>VLOOKUP(D139,CategoryMap,2,0)</f>
        <v/>
      </c>
      <c r="G139">
        <f>ABS(E139-F139)</f>
        <v/>
      </c>
      <c r="H139">
        <f>IF(G139=0,"Yes","No")</f>
        <v/>
      </c>
      <c r="I139" t="inlineStr">
        <is>
          <t>No</t>
        </is>
      </c>
      <c r="J139">
        <f>IF(I139="","",IF(AND(I139=C139,I139=D139),"Both",IF(I139=C139,"Opus",IF(I139=D139,"Sonnet","Neither"))))</f>
        <v/>
      </c>
    </row>
    <row r="140">
      <c r="A140" t="inlineStr">
        <is>
          <t>R059</t>
        </is>
      </c>
      <c r="B140" t="inlineStr">
        <is>
          <t>Q3</t>
        </is>
      </c>
      <c r="C140" t="inlineStr">
        <is>
          <t>Partial</t>
        </is>
      </c>
      <c r="D140" t="inlineStr">
        <is>
          <t>No</t>
        </is>
      </c>
      <c r="E140">
        <f>VLOOKUP(C140,CategoryMap,2,0)</f>
        <v/>
      </c>
      <c r="F140">
        <f>VLOOKUP(D140,CategoryMap,2,0)</f>
        <v/>
      </c>
      <c r="G140">
        <f>ABS(E140-F140)</f>
        <v/>
      </c>
      <c r="H140">
        <f>IF(G140=0,"Yes","No")</f>
        <v/>
      </c>
      <c r="I140" t="inlineStr">
        <is>
          <t>No</t>
        </is>
      </c>
      <c r="J140">
        <f>IF(I140="","",IF(AND(I140=C140,I140=D140),"Both",IF(I140=C140,"Opus",IF(I140=D140,"Sonnet","Neither"))))</f>
        <v/>
      </c>
    </row>
    <row r="141">
      <c r="A141" t="inlineStr">
        <is>
          <t>R059</t>
        </is>
      </c>
      <c r="B141" t="inlineStr">
        <is>
          <t>Q4</t>
        </is>
      </c>
      <c r="C141" t="inlineStr">
        <is>
          <t>Partial</t>
        </is>
      </c>
      <c r="D141" t="inlineStr">
        <is>
          <t>Yes</t>
        </is>
      </c>
      <c r="E141">
        <f>VLOOKUP(C141,CategoryMap,2,0)</f>
        <v/>
      </c>
      <c r="F141">
        <f>VLOOKUP(D141,CategoryMap,2,0)</f>
        <v/>
      </c>
      <c r="G141">
        <f>ABS(E141-F141)</f>
        <v/>
      </c>
      <c r="H141">
        <f>IF(G141=0,"Yes","No")</f>
        <v/>
      </c>
      <c r="I141" t="inlineStr">
        <is>
          <t>Yes</t>
        </is>
      </c>
      <c r="J141">
        <f>IF(I141="","",IF(AND(I141=C141,I141=D141),"Both",IF(I141=C141,"Opus",IF(I141=D141,"Sonnet","Neither"))))</f>
        <v/>
      </c>
    </row>
    <row r="142">
      <c r="A142" t="inlineStr">
        <is>
          <t>R059</t>
        </is>
      </c>
      <c r="B142" t="inlineStr">
        <is>
          <t>Q5</t>
        </is>
      </c>
      <c r="C142" t="inlineStr">
        <is>
          <t>Yes</t>
        </is>
      </c>
      <c r="D142" t="inlineStr">
        <is>
          <t>Yes</t>
        </is>
      </c>
      <c r="E142">
        <f>VLOOKUP(C142,CategoryMap,2,0)</f>
        <v/>
      </c>
      <c r="F142">
        <f>VLOOKUP(D142,CategoryMap,2,0)</f>
        <v/>
      </c>
      <c r="G142">
        <f>ABS(E142-F142)</f>
        <v/>
      </c>
      <c r="H142">
        <f>IF(G142=0,"Yes","No")</f>
        <v/>
      </c>
      <c r="I142" t="inlineStr">
        <is>
          <t>Yes</t>
        </is>
      </c>
      <c r="J142">
        <f>IF(I142="","",IF(AND(I142=C142,I142=D142),"Both",IF(I142=C142,"Opus",IF(I142=D142,"Sonnet","Neither"))))</f>
        <v/>
      </c>
    </row>
    <row r="143">
      <c r="A143" t="inlineStr">
        <is>
          <t>R059</t>
        </is>
      </c>
      <c r="B143" t="inlineStr">
        <is>
          <t>Q6</t>
        </is>
      </c>
      <c r="C143" t="inlineStr">
        <is>
          <t>Partial</t>
        </is>
      </c>
      <c r="D143" t="inlineStr">
        <is>
          <t>Yes</t>
        </is>
      </c>
      <c r="E143">
        <f>VLOOKUP(C143,CategoryMap,2,0)</f>
        <v/>
      </c>
      <c r="F143">
        <f>VLOOKUP(D143,CategoryMap,2,0)</f>
        <v/>
      </c>
      <c r="G143">
        <f>ABS(E143-F143)</f>
        <v/>
      </c>
      <c r="H143">
        <f>IF(G143=0,"Yes","No")</f>
        <v/>
      </c>
      <c r="I143" t="inlineStr">
        <is>
          <t>Yes</t>
        </is>
      </c>
      <c r="J143">
        <f>IF(I143="","",IF(AND(I143=C143,I143=D143),"Both",IF(I143=C143,"Opus",IF(I143=D143,"Sonnet","Neither"))))</f>
        <v/>
      </c>
    </row>
    <row r="144">
      <c r="A144" t="inlineStr">
        <is>
          <t>R059</t>
        </is>
      </c>
      <c r="B144" t="inlineStr">
        <is>
          <t>Q7</t>
        </is>
      </c>
      <c r="C144" t="inlineStr">
        <is>
          <t>Partial</t>
        </is>
      </c>
      <c r="D144" t="inlineStr">
        <is>
          <t>Partial</t>
        </is>
      </c>
      <c r="E144">
        <f>VLOOKUP(C144,CategoryMap,2,0)</f>
        <v/>
      </c>
      <c r="F144">
        <f>VLOOKUP(D144,CategoryMap,2,0)</f>
        <v/>
      </c>
      <c r="G144">
        <f>ABS(E144-F144)</f>
        <v/>
      </c>
      <c r="H144">
        <f>IF(G144=0,"Yes","No")</f>
        <v/>
      </c>
      <c r="I144" t="inlineStr">
        <is>
          <t>Partial</t>
        </is>
      </c>
      <c r="J144">
        <f>IF(I144="","",IF(AND(I144=C144,I144=D144),"Both",IF(I144=C144,"Opus",IF(I144=D144,"Sonnet","Neither"))))</f>
        <v/>
      </c>
    </row>
    <row r="145">
      <c r="A145" t="inlineStr">
        <is>
          <t>R059</t>
        </is>
      </c>
      <c r="B145" t="inlineStr">
        <is>
          <t>Q8</t>
        </is>
      </c>
      <c r="C145" t="inlineStr">
        <is>
          <t>No</t>
        </is>
      </c>
      <c r="D145" t="inlineStr">
        <is>
          <t>No</t>
        </is>
      </c>
      <c r="E145">
        <f>VLOOKUP(C145,CategoryMap,2,0)</f>
        <v/>
      </c>
      <c r="F145">
        <f>VLOOKUP(D145,CategoryMap,2,0)</f>
        <v/>
      </c>
      <c r="G145">
        <f>ABS(E145-F145)</f>
        <v/>
      </c>
      <c r="H145">
        <f>IF(G145=0,"Yes","No")</f>
        <v/>
      </c>
      <c r="I145" t="inlineStr">
        <is>
          <t>No</t>
        </is>
      </c>
      <c r="J145">
        <f>IF(I145="","",IF(AND(I145=C145,I145=D145),"Both",IF(I145=C145,"Opus",IF(I145=D145,"Sonnet","Neither"))))</f>
        <v/>
      </c>
    </row>
    <row r="146">
      <c r="A146" t="inlineStr">
        <is>
          <t>R060</t>
        </is>
      </c>
      <c r="B146" t="inlineStr">
        <is>
          <t>Q1</t>
        </is>
      </c>
      <c r="C146" t="inlineStr">
        <is>
          <t>Partial</t>
        </is>
      </c>
      <c r="D146" t="inlineStr">
        <is>
          <t>Partial</t>
        </is>
      </c>
      <c r="E146">
        <f>VLOOKUP(C146,CategoryMap,2,0)</f>
        <v/>
      </c>
      <c r="F146">
        <f>VLOOKUP(D146,CategoryMap,2,0)</f>
        <v/>
      </c>
      <c r="G146">
        <f>ABS(E146-F146)</f>
        <v/>
      </c>
      <c r="H146">
        <f>IF(G146=0,"Yes","No")</f>
        <v/>
      </c>
      <c r="I146" t="inlineStr">
        <is>
          <t>Partial</t>
        </is>
      </c>
      <c r="J146">
        <f>IF(I146="","",IF(AND(I146=C146,I146=D146),"Both",IF(I146=C146,"Opus",IF(I146=D146,"Sonnet","Neither"))))</f>
        <v/>
      </c>
    </row>
    <row r="147">
      <c r="A147" t="inlineStr">
        <is>
          <t>R060</t>
        </is>
      </c>
      <c r="B147" t="inlineStr">
        <is>
          <t>Q2</t>
        </is>
      </c>
      <c r="C147" t="inlineStr">
        <is>
          <t>Yes</t>
        </is>
      </c>
      <c r="D147" t="inlineStr">
        <is>
          <t>Yes</t>
        </is>
      </c>
      <c r="E147">
        <f>VLOOKUP(C147,CategoryMap,2,0)</f>
        <v/>
      </c>
      <c r="F147">
        <f>VLOOKUP(D147,CategoryMap,2,0)</f>
        <v/>
      </c>
      <c r="G147">
        <f>ABS(E147-F147)</f>
        <v/>
      </c>
      <c r="H147">
        <f>IF(G147=0,"Yes","No")</f>
        <v/>
      </c>
      <c r="I147" t="inlineStr">
        <is>
          <t>Yes</t>
        </is>
      </c>
      <c r="J147">
        <f>IF(I147="","",IF(AND(I147=C147,I147=D147),"Both",IF(I147=C147,"Opus",IF(I147=D147,"Sonnet","Neither"))))</f>
        <v/>
      </c>
    </row>
    <row r="148">
      <c r="A148" t="inlineStr">
        <is>
          <t>R060</t>
        </is>
      </c>
      <c r="B148" t="inlineStr">
        <is>
          <t>Q3</t>
        </is>
      </c>
      <c r="C148" t="inlineStr">
        <is>
          <t>Yes</t>
        </is>
      </c>
      <c r="D148" t="inlineStr">
        <is>
          <t>No</t>
        </is>
      </c>
      <c r="E148">
        <f>VLOOKUP(C148,CategoryMap,2,0)</f>
        <v/>
      </c>
      <c r="F148">
        <f>VLOOKUP(D148,CategoryMap,2,0)</f>
        <v/>
      </c>
      <c r="G148">
        <f>ABS(E148-F148)</f>
        <v/>
      </c>
      <c r="H148">
        <f>IF(G148=0,"Yes","No")</f>
        <v/>
      </c>
      <c r="I148" t="inlineStr">
        <is>
          <t>No</t>
        </is>
      </c>
      <c r="J148">
        <f>IF(I148="","",IF(AND(I148=C148,I148=D148),"Both",IF(I148=C148,"Opus",IF(I148=D148,"Sonnet","Neither"))))</f>
        <v/>
      </c>
    </row>
    <row r="149">
      <c r="A149" t="inlineStr">
        <is>
          <t>R060</t>
        </is>
      </c>
      <c r="B149" t="inlineStr">
        <is>
          <t>Q4</t>
        </is>
      </c>
      <c r="C149" t="inlineStr">
        <is>
          <t>Partial</t>
        </is>
      </c>
      <c r="D149" t="inlineStr">
        <is>
          <t>Partial</t>
        </is>
      </c>
      <c r="E149">
        <f>VLOOKUP(C149,CategoryMap,2,0)</f>
        <v/>
      </c>
      <c r="F149">
        <f>VLOOKUP(D149,CategoryMap,2,0)</f>
        <v/>
      </c>
      <c r="G149">
        <f>ABS(E149-F149)</f>
        <v/>
      </c>
      <c r="H149">
        <f>IF(G149=0,"Yes","No")</f>
        <v/>
      </c>
      <c r="I149" t="inlineStr">
        <is>
          <t>Partial</t>
        </is>
      </c>
      <c r="J149">
        <f>IF(I149="","",IF(AND(I149=C149,I149=D149),"Both",IF(I149=C149,"Opus",IF(I149=D149,"Sonnet","Neither"))))</f>
        <v/>
      </c>
    </row>
    <row r="150">
      <c r="A150" t="inlineStr">
        <is>
          <t>R060</t>
        </is>
      </c>
      <c r="B150" t="inlineStr">
        <is>
          <t>Q5</t>
        </is>
      </c>
      <c r="C150" t="inlineStr">
        <is>
          <t>Yes</t>
        </is>
      </c>
      <c r="D150" t="inlineStr">
        <is>
          <t>Yes</t>
        </is>
      </c>
      <c r="E150">
        <f>VLOOKUP(C150,CategoryMap,2,0)</f>
        <v/>
      </c>
      <c r="F150">
        <f>VLOOKUP(D150,CategoryMap,2,0)</f>
        <v/>
      </c>
      <c r="G150">
        <f>ABS(E150-F150)</f>
        <v/>
      </c>
      <c r="H150">
        <f>IF(G150=0,"Yes","No")</f>
        <v/>
      </c>
      <c r="I150" t="inlineStr">
        <is>
          <t>Yes</t>
        </is>
      </c>
      <c r="J150">
        <f>IF(I150="","",IF(AND(I150=C150,I150=D150),"Both",IF(I150=C150,"Opus",IF(I150=D150,"Sonnet","Neither"))))</f>
        <v/>
      </c>
    </row>
    <row r="151">
      <c r="A151" t="inlineStr">
        <is>
          <t>R060</t>
        </is>
      </c>
      <c r="B151" t="inlineStr">
        <is>
          <t>Q6</t>
        </is>
      </c>
      <c r="C151" t="inlineStr">
        <is>
          <t>Yes</t>
        </is>
      </c>
      <c r="D151" t="inlineStr">
        <is>
          <t>Yes</t>
        </is>
      </c>
      <c r="E151">
        <f>VLOOKUP(C151,CategoryMap,2,0)</f>
        <v/>
      </c>
      <c r="F151">
        <f>VLOOKUP(D151,CategoryMap,2,0)</f>
        <v/>
      </c>
      <c r="G151">
        <f>ABS(E151-F151)</f>
        <v/>
      </c>
      <c r="H151">
        <f>IF(G151=0,"Yes","No")</f>
        <v/>
      </c>
      <c r="I151" t="inlineStr">
        <is>
          <t>Yes</t>
        </is>
      </c>
      <c r="J151">
        <f>IF(I151="","",IF(AND(I151=C151,I151=D151),"Both",IF(I151=C151,"Opus",IF(I151=D151,"Sonnet","Neither"))))</f>
        <v/>
      </c>
    </row>
    <row r="152">
      <c r="A152" t="inlineStr">
        <is>
          <t>R060</t>
        </is>
      </c>
      <c r="B152" t="inlineStr">
        <is>
          <t>Q7</t>
        </is>
      </c>
      <c r="C152" t="inlineStr">
        <is>
          <t>Yes</t>
        </is>
      </c>
      <c r="D152" t="inlineStr">
        <is>
          <t>Yes</t>
        </is>
      </c>
      <c r="E152">
        <f>VLOOKUP(C152,CategoryMap,2,0)</f>
        <v/>
      </c>
      <c r="F152">
        <f>VLOOKUP(D152,CategoryMap,2,0)</f>
        <v/>
      </c>
      <c r="G152">
        <f>ABS(E152-F152)</f>
        <v/>
      </c>
      <c r="H152">
        <f>IF(G152=0,"Yes","No")</f>
        <v/>
      </c>
      <c r="I152" t="inlineStr">
        <is>
          <t>Yes</t>
        </is>
      </c>
      <c r="J152">
        <f>IF(I152="","",IF(AND(I152=C152,I152=D152),"Both",IF(I152=C152,"Opus",IF(I152=D152,"Sonnet","Neither"))))</f>
        <v/>
      </c>
    </row>
    <row r="153">
      <c r="A153" t="inlineStr">
        <is>
          <t>R060</t>
        </is>
      </c>
      <c r="B153" t="inlineStr">
        <is>
          <t>Q8</t>
        </is>
      </c>
      <c r="C153" t="inlineStr">
        <is>
          <t>Partial</t>
        </is>
      </c>
      <c r="D153" t="inlineStr">
        <is>
          <t>Partial</t>
        </is>
      </c>
      <c r="E153">
        <f>VLOOKUP(C153,CategoryMap,2,0)</f>
        <v/>
      </c>
      <c r="F153">
        <f>VLOOKUP(D153,CategoryMap,2,0)</f>
        <v/>
      </c>
      <c r="G153">
        <f>ABS(E153-F153)</f>
        <v/>
      </c>
      <c r="H153">
        <f>IF(G153=0,"Yes","No")</f>
        <v/>
      </c>
      <c r="I153" t="inlineStr">
        <is>
          <t>Partial</t>
        </is>
      </c>
      <c r="J153">
        <f>IF(I153="","",IF(AND(I153=C153,I153=D153),"Both",IF(I153=C153,"Opus",IF(I153=D153,"Sonnet","Neither"))))</f>
        <v/>
      </c>
    </row>
    <row r="154">
      <c r="A154" t="inlineStr">
        <is>
          <t>R061</t>
        </is>
      </c>
      <c r="B154" t="inlineStr">
        <is>
          <t>Q1</t>
        </is>
      </c>
      <c r="C154" t="inlineStr">
        <is>
          <t>Partial</t>
        </is>
      </c>
      <c r="D154" t="inlineStr">
        <is>
          <t>No</t>
        </is>
      </c>
      <c r="E154">
        <f>VLOOKUP(C154,CategoryMap,2,0)</f>
        <v/>
      </c>
      <c r="F154">
        <f>VLOOKUP(D154,CategoryMap,2,0)</f>
        <v/>
      </c>
      <c r="G154">
        <f>ABS(E154-F154)</f>
        <v/>
      </c>
      <c r="H154">
        <f>IF(G154=0,"Yes","No")</f>
        <v/>
      </c>
      <c r="I154" t="inlineStr">
        <is>
          <t>Partial</t>
        </is>
      </c>
      <c r="J154">
        <f>IF(I154="","",IF(AND(I154=C154,I154=D154),"Both",IF(I154=C154,"Opus",IF(I154=D154,"Sonnet","Neither"))))</f>
        <v/>
      </c>
    </row>
    <row r="155">
      <c r="A155" t="inlineStr">
        <is>
          <t>R061</t>
        </is>
      </c>
      <c r="B155" t="inlineStr">
        <is>
          <t>Q2</t>
        </is>
      </c>
      <c r="C155" t="inlineStr">
        <is>
          <t>Partial</t>
        </is>
      </c>
      <c r="D155" t="inlineStr">
        <is>
          <t>No</t>
        </is>
      </c>
      <c r="E155">
        <f>VLOOKUP(C155,CategoryMap,2,0)</f>
        <v/>
      </c>
      <c r="F155">
        <f>VLOOKUP(D155,CategoryMap,2,0)</f>
        <v/>
      </c>
      <c r="G155">
        <f>ABS(E155-F155)</f>
        <v/>
      </c>
      <c r="H155">
        <f>IF(G155=0,"Yes","No")</f>
        <v/>
      </c>
      <c r="I155" t="inlineStr">
        <is>
          <t>Partial</t>
        </is>
      </c>
      <c r="J155">
        <f>IF(I155="","",IF(AND(I155=C155,I155=D155),"Both",IF(I155=C155,"Opus",IF(I155=D155,"Sonnet","Neither"))))</f>
        <v/>
      </c>
    </row>
    <row r="156">
      <c r="A156" t="inlineStr">
        <is>
          <t>R061</t>
        </is>
      </c>
      <c r="B156" t="inlineStr">
        <is>
          <t>Q3</t>
        </is>
      </c>
      <c r="C156" t="inlineStr">
        <is>
          <t>Yes</t>
        </is>
      </c>
      <c r="D156" t="inlineStr">
        <is>
          <t>No</t>
        </is>
      </c>
      <c r="E156">
        <f>VLOOKUP(C156,CategoryMap,2,0)</f>
        <v/>
      </c>
      <c r="F156">
        <f>VLOOKUP(D156,CategoryMap,2,0)</f>
        <v/>
      </c>
      <c r="G156">
        <f>ABS(E156-F156)</f>
        <v/>
      </c>
      <c r="H156">
        <f>IF(G156=0,"Yes","No")</f>
        <v/>
      </c>
      <c r="I156" t="inlineStr">
        <is>
          <t>Yes</t>
        </is>
      </c>
      <c r="J156">
        <f>IF(I156="","",IF(AND(I156=C156,I156=D156),"Both",IF(I156=C156,"Opus",IF(I156=D156,"Sonnet","Neither"))))</f>
        <v/>
      </c>
    </row>
    <row r="157">
      <c r="A157" t="inlineStr">
        <is>
          <t>R061</t>
        </is>
      </c>
      <c r="B157" t="inlineStr">
        <is>
          <t>Q4</t>
        </is>
      </c>
      <c r="C157" t="inlineStr">
        <is>
          <t>Partial</t>
        </is>
      </c>
      <c r="D157" t="inlineStr">
        <is>
          <t>Partial</t>
        </is>
      </c>
      <c r="E157">
        <f>VLOOKUP(C157,CategoryMap,2,0)</f>
        <v/>
      </c>
      <c r="F157">
        <f>VLOOKUP(D157,CategoryMap,2,0)</f>
        <v/>
      </c>
      <c r="G157">
        <f>ABS(E157-F157)</f>
        <v/>
      </c>
      <c r="H157">
        <f>IF(G157=0,"Yes","No")</f>
        <v/>
      </c>
      <c r="I157" t="inlineStr">
        <is>
          <t>Partial</t>
        </is>
      </c>
      <c r="J157">
        <f>IF(I157="","",IF(AND(I157=C157,I157=D157),"Both",IF(I157=C157,"Opus",IF(I157=D157,"Sonnet","Neither"))))</f>
        <v/>
      </c>
    </row>
    <row r="158">
      <c r="A158" t="inlineStr">
        <is>
          <t>R061</t>
        </is>
      </c>
      <c r="B158" t="inlineStr">
        <is>
          <t>Q5</t>
        </is>
      </c>
      <c r="C158" t="inlineStr">
        <is>
          <t>Yes</t>
        </is>
      </c>
      <c r="D158" t="inlineStr">
        <is>
          <t>Yes</t>
        </is>
      </c>
      <c r="E158">
        <f>VLOOKUP(C158,CategoryMap,2,0)</f>
        <v/>
      </c>
      <c r="F158">
        <f>VLOOKUP(D158,CategoryMap,2,0)</f>
        <v/>
      </c>
      <c r="G158">
        <f>ABS(E158-F158)</f>
        <v/>
      </c>
      <c r="H158">
        <f>IF(G158=0,"Yes","No")</f>
        <v/>
      </c>
      <c r="I158" t="inlineStr">
        <is>
          <t>Yes</t>
        </is>
      </c>
      <c r="J158">
        <f>IF(I158="","",IF(AND(I158=C158,I158=D158),"Both",IF(I158=C158,"Opus",IF(I158=D158,"Sonnet","Neither"))))</f>
        <v/>
      </c>
    </row>
    <row r="159">
      <c r="A159" t="inlineStr">
        <is>
          <t>R061</t>
        </is>
      </c>
      <c r="B159" t="inlineStr">
        <is>
          <t>Q6</t>
        </is>
      </c>
      <c r="C159" t="inlineStr">
        <is>
          <t>Yes</t>
        </is>
      </c>
      <c r="D159" t="inlineStr">
        <is>
          <t>Yes</t>
        </is>
      </c>
      <c r="E159">
        <f>VLOOKUP(C159,CategoryMap,2,0)</f>
        <v/>
      </c>
      <c r="F159">
        <f>VLOOKUP(D159,CategoryMap,2,0)</f>
        <v/>
      </c>
      <c r="G159">
        <f>ABS(E159-F159)</f>
        <v/>
      </c>
      <c r="H159">
        <f>IF(G159=0,"Yes","No")</f>
        <v/>
      </c>
      <c r="I159" t="inlineStr">
        <is>
          <t>Yes</t>
        </is>
      </c>
      <c r="J159">
        <f>IF(I159="","",IF(AND(I159=C159,I159=D159),"Both",IF(I159=C159,"Opus",IF(I159=D159,"Sonnet","Neither"))))</f>
        <v/>
      </c>
    </row>
    <row r="160">
      <c r="A160" t="inlineStr">
        <is>
          <t>R061</t>
        </is>
      </c>
      <c r="B160" t="inlineStr">
        <is>
          <t>Q7</t>
        </is>
      </c>
      <c r="C160" t="inlineStr">
        <is>
          <t>Yes</t>
        </is>
      </c>
      <c r="D160" t="inlineStr">
        <is>
          <t>Yes</t>
        </is>
      </c>
      <c r="E160">
        <f>VLOOKUP(C160,CategoryMap,2,0)</f>
        <v/>
      </c>
      <c r="F160">
        <f>VLOOKUP(D160,CategoryMap,2,0)</f>
        <v/>
      </c>
      <c r="G160">
        <f>ABS(E160-F160)</f>
        <v/>
      </c>
      <c r="H160">
        <f>IF(G160=0,"Yes","No")</f>
        <v/>
      </c>
      <c r="I160" t="inlineStr">
        <is>
          <t>Yes</t>
        </is>
      </c>
      <c r="J160">
        <f>IF(I160="","",IF(AND(I160=C160,I160=D160),"Both",IF(I160=C160,"Opus",IF(I160=D160,"Sonnet","Neither"))))</f>
        <v/>
      </c>
    </row>
    <row r="161">
      <c r="A161" t="inlineStr">
        <is>
          <t>R061</t>
        </is>
      </c>
      <c r="B161" t="inlineStr">
        <is>
          <t>Q8</t>
        </is>
      </c>
      <c r="C161" t="inlineStr">
        <is>
          <t>No</t>
        </is>
      </c>
      <c r="D161" t="inlineStr">
        <is>
          <t>No</t>
        </is>
      </c>
      <c r="E161">
        <f>VLOOKUP(C161,CategoryMap,2,0)</f>
        <v/>
      </c>
      <c r="F161">
        <f>VLOOKUP(D161,CategoryMap,2,0)</f>
        <v/>
      </c>
      <c r="G161">
        <f>ABS(E161-F161)</f>
        <v/>
      </c>
      <c r="H161">
        <f>IF(G161=0,"Yes","No")</f>
        <v/>
      </c>
      <c r="I161" t="inlineStr">
        <is>
          <t>Yes</t>
        </is>
      </c>
      <c r="J161">
        <f>IF(I161="","",IF(AND(I161=C161,I161=D161),"Both",IF(I161=C161,"Opus",IF(I161=D161,"Sonnet","Neither"))))</f>
        <v/>
      </c>
    </row>
    <row r="162">
      <c r="A162" t="inlineStr">
        <is>
          <t>R062</t>
        </is>
      </c>
      <c r="B162" t="inlineStr">
        <is>
          <t>Q1</t>
        </is>
      </c>
      <c r="C162" t="inlineStr">
        <is>
          <t>Yes</t>
        </is>
      </c>
      <c r="D162" t="inlineStr">
        <is>
          <t>Partial</t>
        </is>
      </c>
      <c r="E162">
        <f>VLOOKUP(C162,CategoryMap,2,0)</f>
        <v/>
      </c>
      <c r="F162">
        <f>VLOOKUP(D162,CategoryMap,2,0)</f>
        <v/>
      </c>
      <c r="G162">
        <f>ABS(E162-F162)</f>
        <v/>
      </c>
      <c r="H162">
        <f>IF(G162=0,"Yes","No")</f>
        <v/>
      </c>
      <c r="I162" t="inlineStr">
        <is>
          <t>Yes</t>
        </is>
      </c>
      <c r="J162">
        <f>IF(I162="","",IF(AND(I162=C162,I162=D162),"Both",IF(I162=C162,"Opus",IF(I162=D162,"Sonnet","Neither"))))</f>
        <v/>
      </c>
    </row>
    <row r="163">
      <c r="A163" t="inlineStr">
        <is>
          <t>R062</t>
        </is>
      </c>
      <c r="B163" t="inlineStr">
        <is>
          <t>Q2</t>
        </is>
      </c>
      <c r="C163" t="inlineStr">
        <is>
          <t>Yes</t>
        </is>
      </c>
      <c r="D163" t="inlineStr">
        <is>
          <t>Yes</t>
        </is>
      </c>
      <c r="E163">
        <f>VLOOKUP(C163,CategoryMap,2,0)</f>
        <v/>
      </c>
      <c r="F163">
        <f>VLOOKUP(D163,CategoryMap,2,0)</f>
        <v/>
      </c>
      <c r="G163">
        <f>ABS(E163-F163)</f>
        <v/>
      </c>
      <c r="H163">
        <f>IF(G163=0,"Yes","No")</f>
        <v/>
      </c>
      <c r="I163" t="inlineStr">
        <is>
          <t>Yes</t>
        </is>
      </c>
      <c r="J163">
        <f>IF(I163="","",IF(AND(I163=C163,I163=D163),"Both",IF(I163=C163,"Opus",IF(I163=D163,"Sonnet","Neither"))))</f>
        <v/>
      </c>
    </row>
    <row r="164">
      <c r="A164" t="inlineStr">
        <is>
          <t>R062</t>
        </is>
      </c>
      <c r="B164" t="inlineStr">
        <is>
          <t>Q3</t>
        </is>
      </c>
      <c r="C164" t="inlineStr">
        <is>
          <t>Yes</t>
        </is>
      </c>
      <c r="D164" t="inlineStr">
        <is>
          <t>Yes</t>
        </is>
      </c>
      <c r="E164">
        <f>VLOOKUP(C164,CategoryMap,2,0)</f>
        <v/>
      </c>
      <c r="F164">
        <f>VLOOKUP(D164,CategoryMap,2,0)</f>
        <v/>
      </c>
      <c r="G164">
        <f>ABS(E164-F164)</f>
        <v/>
      </c>
      <c r="H164">
        <f>IF(G164=0,"Yes","No")</f>
        <v/>
      </c>
      <c r="I164" t="inlineStr">
        <is>
          <t>Yes</t>
        </is>
      </c>
      <c r="J164">
        <f>IF(I164="","",IF(AND(I164=C164,I164=D164),"Both",IF(I164=C164,"Opus",IF(I164=D164,"Sonnet","Neither"))))</f>
        <v/>
      </c>
    </row>
    <row r="165">
      <c r="A165" t="inlineStr">
        <is>
          <t>R062</t>
        </is>
      </c>
      <c r="B165" t="inlineStr">
        <is>
          <t>Q4</t>
        </is>
      </c>
      <c r="C165" t="inlineStr">
        <is>
          <t>Partial</t>
        </is>
      </c>
      <c r="D165" t="inlineStr">
        <is>
          <t>Partial</t>
        </is>
      </c>
      <c r="E165">
        <f>VLOOKUP(C165,CategoryMap,2,0)</f>
        <v/>
      </c>
      <c r="F165">
        <f>VLOOKUP(D165,CategoryMap,2,0)</f>
        <v/>
      </c>
      <c r="G165">
        <f>ABS(E165-F165)</f>
        <v/>
      </c>
      <c r="H165">
        <f>IF(G165=0,"Yes","No")</f>
        <v/>
      </c>
      <c r="I165" t="inlineStr">
        <is>
          <t>Partial</t>
        </is>
      </c>
      <c r="J165">
        <f>IF(I165="","",IF(AND(I165=C165,I165=D165),"Both",IF(I165=C165,"Opus",IF(I165=D165,"Sonnet","Neither"))))</f>
        <v/>
      </c>
    </row>
    <row r="166">
      <c r="A166" t="inlineStr">
        <is>
          <t>R062</t>
        </is>
      </c>
      <c r="B166" t="inlineStr">
        <is>
          <t>Q5</t>
        </is>
      </c>
      <c r="C166" t="inlineStr">
        <is>
          <t>Partial</t>
        </is>
      </c>
      <c r="D166" t="inlineStr">
        <is>
          <t>Partial</t>
        </is>
      </c>
      <c r="E166">
        <f>VLOOKUP(C166,CategoryMap,2,0)</f>
        <v/>
      </c>
      <c r="F166">
        <f>VLOOKUP(D166,CategoryMap,2,0)</f>
        <v/>
      </c>
      <c r="G166">
        <f>ABS(E166-F166)</f>
        <v/>
      </c>
      <c r="H166">
        <f>IF(G166=0,"Yes","No")</f>
        <v/>
      </c>
      <c r="I166" t="inlineStr">
        <is>
          <t>Partial</t>
        </is>
      </c>
      <c r="J166">
        <f>IF(I166="","",IF(AND(I166=C166,I166=D166),"Both",IF(I166=C166,"Opus",IF(I166=D166,"Sonnet","Neither"))))</f>
        <v/>
      </c>
    </row>
    <row r="167">
      <c r="A167" t="inlineStr">
        <is>
          <t>R062</t>
        </is>
      </c>
      <c r="B167" t="inlineStr">
        <is>
          <t>Q6</t>
        </is>
      </c>
      <c r="C167" t="inlineStr">
        <is>
          <t>Partial</t>
        </is>
      </c>
      <c r="D167" t="inlineStr">
        <is>
          <t>Yes</t>
        </is>
      </c>
      <c r="E167">
        <f>VLOOKUP(C167,CategoryMap,2,0)</f>
        <v/>
      </c>
      <c r="F167">
        <f>VLOOKUP(D167,CategoryMap,2,0)</f>
        <v/>
      </c>
      <c r="G167">
        <f>ABS(E167-F167)</f>
        <v/>
      </c>
      <c r="H167">
        <f>IF(G167=0,"Yes","No")</f>
        <v/>
      </c>
      <c r="I167" t="inlineStr">
        <is>
          <t>Yes</t>
        </is>
      </c>
      <c r="J167">
        <f>IF(I167="","",IF(AND(I167=C167,I167=D167),"Both",IF(I167=C167,"Opus",IF(I167=D167,"Sonnet","Neither"))))</f>
        <v/>
      </c>
    </row>
    <row r="168">
      <c r="A168" t="inlineStr">
        <is>
          <t>R062</t>
        </is>
      </c>
      <c r="B168" t="inlineStr">
        <is>
          <t>Q7</t>
        </is>
      </c>
      <c r="C168" t="inlineStr">
        <is>
          <t>Yes</t>
        </is>
      </c>
      <c r="D168" t="inlineStr">
        <is>
          <t>Yes</t>
        </is>
      </c>
      <c r="E168">
        <f>VLOOKUP(C168,CategoryMap,2,0)</f>
        <v/>
      </c>
      <c r="F168">
        <f>VLOOKUP(D168,CategoryMap,2,0)</f>
        <v/>
      </c>
      <c r="G168">
        <f>ABS(E168-F168)</f>
        <v/>
      </c>
      <c r="H168">
        <f>IF(G168=0,"Yes","No")</f>
        <v/>
      </c>
      <c r="I168" t="inlineStr">
        <is>
          <t>Yes</t>
        </is>
      </c>
      <c r="J168">
        <f>IF(I168="","",IF(AND(I168=C168,I168=D168),"Both",IF(I168=C168,"Opus",IF(I168=D168,"Sonnet","Neither"))))</f>
        <v/>
      </c>
    </row>
    <row r="169">
      <c r="A169" t="inlineStr">
        <is>
          <t>R062</t>
        </is>
      </c>
      <c r="B169" t="inlineStr">
        <is>
          <t>Q8</t>
        </is>
      </c>
      <c r="C169" t="inlineStr">
        <is>
          <t>Partial</t>
        </is>
      </c>
      <c r="D169" t="inlineStr">
        <is>
          <t>Partial</t>
        </is>
      </c>
      <c r="E169">
        <f>VLOOKUP(C169,CategoryMap,2,0)</f>
        <v/>
      </c>
      <c r="F169">
        <f>VLOOKUP(D169,CategoryMap,2,0)</f>
        <v/>
      </c>
      <c r="G169">
        <f>ABS(E169-F169)</f>
        <v/>
      </c>
      <c r="H169">
        <f>IF(G169=0,"Yes","No")</f>
        <v/>
      </c>
      <c r="I169" t="inlineStr">
        <is>
          <t>Partial</t>
        </is>
      </c>
      <c r="J169">
        <f>IF(I169="","",IF(AND(I169=C169,I169=D169),"Both",IF(I169=C169,"Opus",IF(I169=D169,"Sonnet","Neither"))))</f>
        <v/>
      </c>
    </row>
    <row r="170">
      <c r="A170" t="inlineStr">
        <is>
          <t>R063</t>
        </is>
      </c>
      <c r="B170" t="inlineStr">
        <is>
          <t>Q1</t>
        </is>
      </c>
      <c r="C170" t="inlineStr">
        <is>
          <t>Yes</t>
        </is>
      </c>
      <c r="D170" t="inlineStr">
        <is>
          <t>Partial</t>
        </is>
      </c>
      <c r="E170">
        <f>VLOOKUP(C170,CategoryMap,2,0)</f>
        <v/>
      </c>
      <c r="F170">
        <f>VLOOKUP(D170,CategoryMap,2,0)</f>
        <v/>
      </c>
      <c r="G170">
        <f>ABS(E170-F170)</f>
        <v/>
      </c>
      <c r="H170">
        <f>IF(G170=0,"Yes","No")</f>
        <v/>
      </c>
      <c r="I170" t="inlineStr">
        <is>
          <t>Yes</t>
        </is>
      </c>
      <c r="J170">
        <f>IF(I170="","",IF(AND(I170=C170,I170=D170),"Both",IF(I170=C170,"Opus",IF(I170=D170,"Sonnet","Neither"))))</f>
        <v/>
      </c>
    </row>
    <row r="171">
      <c r="A171" t="inlineStr">
        <is>
          <t>R063</t>
        </is>
      </c>
      <c r="B171" t="inlineStr">
        <is>
          <t>Q2</t>
        </is>
      </c>
      <c r="C171" t="inlineStr">
        <is>
          <t>Yes</t>
        </is>
      </c>
      <c r="D171" t="inlineStr">
        <is>
          <t>Yes</t>
        </is>
      </c>
      <c r="E171">
        <f>VLOOKUP(C171,CategoryMap,2,0)</f>
        <v/>
      </c>
      <c r="F171">
        <f>VLOOKUP(D171,CategoryMap,2,0)</f>
        <v/>
      </c>
      <c r="G171">
        <f>ABS(E171-F171)</f>
        <v/>
      </c>
      <c r="H171">
        <f>IF(G171=0,"Yes","No")</f>
        <v/>
      </c>
      <c r="I171" t="inlineStr">
        <is>
          <t>Yes</t>
        </is>
      </c>
      <c r="J171">
        <f>IF(I171="","",IF(AND(I171=C171,I171=D171),"Both",IF(I171=C171,"Opus",IF(I171=D171,"Sonnet","Neither"))))</f>
        <v/>
      </c>
    </row>
    <row r="172">
      <c r="A172" t="inlineStr">
        <is>
          <t>R063</t>
        </is>
      </c>
      <c r="B172" t="inlineStr">
        <is>
          <t>Q3</t>
        </is>
      </c>
      <c r="C172" t="inlineStr">
        <is>
          <t>Yes</t>
        </is>
      </c>
      <c r="D172" t="inlineStr">
        <is>
          <t>Yes</t>
        </is>
      </c>
      <c r="E172">
        <f>VLOOKUP(C172,CategoryMap,2,0)</f>
        <v/>
      </c>
      <c r="F172">
        <f>VLOOKUP(D172,CategoryMap,2,0)</f>
        <v/>
      </c>
      <c r="G172">
        <f>ABS(E172-F172)</f>
        <v/>
      </c>
      <c r="H172">
        <f>IF(G172=0,"Yes","No")</f>
        <v/>
      </c>
      <c r="I172" t="inlineStr">
        <is>
          <t>Yes</t>
        </is>
      </c>
      <c r="J172">
        <f>IF(I172="","",IF(AND(I172=C172,I172=D172),"Both",IF(I172=C172,"Opus",IF(I172=D172,"Sonnet","Neither"))))</f>
        <v/>
      </c>
    </row>
    <row r="173">
      <c r="A173" t="inlineStr">
        <is>
          <t>R063</t>
        </is>
      </c>
      <c r="B173" t="inlineStr">
        <is>
          <t>Q4</t>
        </is>
      </c>
      <c r="C173" t="inlineStr">
        <is>
          <t>Partial</t>
        </is>
      </c>
      <c r="D173" t="inlineStr">
        <is>
          <t>Partial</t>
        </is>
      </c>
      <c r="E173">
        <f>VLOOKUP(C173,CategoryMap,2,0)</f>
        <v/>
      </c>
      <c r="F173">
        <f>VLOOKUP(D173,CategoryMap,2,0)</f>
        <v/>
      </c>
      <c r="G173">
        <f>ABS(E173-F173)</f>
        <v/>
      </c>
      <c r="H173">
        <f>IF(G173=0,"Yes","No")</f>
        <v/>
      </c>
      <c r="I173" t="inlineStr">
        <is>
          <t>Partial</t>
        </is>
      </c>
      <c r="J173">
        <f>IF(I173="","",IF(AND(I173=C173,I173=D173),"Both",IF(I173=C173,"Opus",IF(I173=D173,"Sonnet","Neither"))))</f>
        <v/>
      </c>
    </row>
    <row r="174">
      <c r="A174" t="inlineStr">
        <is>
          <t>R063</t>
        </is>
      </c>
      <c r="B174" t="inlineStr">
        <is>
          <t>Q5</t>
        </is>
      </c>
      <c r="C174" t="inlineStr">
        <is>
          <t>Partial</t>
        </is>
      </c>
      <c r="D174" t="inlineStr">
        <is>
          <t>Partial</t>
        </is>
      </c>
      <c r="E174">
        <f>VLOOKUP(C174,CategoryMap,2,0)</f>
        <v/>
      </c>
      <c r="F174">
        <f>VLOOKUP(D174,CategoryMap,2,0)</f>
        <v/>
      </c>
      <c r="G174">
        <f>ABS(E174-F174)</f>
        <v/>
      </c>
      <c r="H174">
        <f>IF(G174=0,"Yes","No")</f>
        <v/>
      </c>
      <c r="I174" t="inlineStr">
        <is>
          <t>Partial</t>
        </is>
      </c>
      <c r="J174">
        <f>IF(I174="","",IF(AND(I174=C174,I174=D174),"Both",IF(I174=C174,"Opus",IF(I174=D174,"Sonnet","Neither"))))</f>
        <v/>
      </c>
    </row>
    <row r="175">
      <c r="A175" t="inlineStr">
        <is>
          <t>R063</t>
        </is>
      </c>
      <c r="B175" t="inlineStr">
        <is>
          <t>Q6</t>
        </is>
      </c>
      <c r="C175" t="inlineStr">
        <is>
          <t>Partial</t>
        </is>
      </c>
      <c r="D175" t="inlineStr">
        <is>
          <t>Partial</t>
        </is>
      </c>
      <c r="E175">
        <f>VLOOKUP(C175,CategoryMap,2,0)</f>
        <v/>
      </c>
      <c r="F175">
        <f>VLOOKUP(D175,CategoryMap,2,0)</f>
        <v/>
      </c>
      <c r="G175">
        <f>ABS(E175-F175)</f>
        <v/>
      </c>
      <c r="H175">
        <f>IF(G175=0,"Yes","No")</f>
        <v/>
      </c>
      <c r="I175" t="inlineStr">
        <is>
          <t>Partial</t>
        </is>
      </c>
      <c r="J175">
        <f>IF(I175="","",IF(AND(I175=C175,I175=D175),"Both",IF(I175=C175,"Opus",IF(I175=D175,"Sonnet","Neither"))))</f>
        <v/>
      </c>
    </row>
    <row r="176">
      <c r="A176" t="inlineStr">
        <is>
          <t>R063</t>
        </is>
      </c>
      <c r="B176" t="inlineStr">
        <is>
          <t>Q7</t>
        </is>
      </c>
      <c r="C176" t="inlineStr">
        <is>
          <t>No</t>
        </is>
      </c>
      <c r="D176" t="inlineStr">
        <is>
          <t>No</t>
        </is>
      </c>
      <c r="E176">
        <f>VLOOKUP(C176,CategoryMap,2,0)</f>
        <v/>
      </c>
      <c r="F176">
        <f>VLOOKUP(D176,CategoryMap,2,0)</f>
        <v/>
      </c>
      <c r="G176">
        <f>ABS(E176-F176)</f>
        <v/>
      </c>
      <c r="H176">
        <f>IF(G176=0,"Yes","No")</f>
        <v/>
      </c>
      <c r="I176" t="inlineStr">
        <is>
          <t>No</t>
        </is>
      </c>
      <c r="J176">
        <f>IF(I176="","",IF(AND(I176=C176,I176=D176),"Both",IF(I176=C176,"Opus",IF(I176=D176,"Sonnet","Neither"))))</f>
        <v/>
      </c>
    </row>
    <row r="177">
      <c r="A177" t="inlineStr">
        <is>
          <t>R063</t>
        </is>
      </c>
      <c r="B177" t="inlineStr">
        <is>
          <t>Q8</t>
        </is>
      </c>
      <c r="C177" t="inlineStr">
        <is>
          <t>Partial</t>
        </is>
      </c>
      <c r="D177" t="inlineStr">
        <is>
          <t>Partial</t>
        </is>
      </c>
      <c r="E177">
        <f>VLOOKUP(C177,CategoryMap,2,0)</f>
        <v/>
      </c>
      <c r="F177">
        <f>VLOOKUP(D177,CategoryMap,2,0)</f>
        <v/>
      </c>
      <c r="G177">
        <f>ABS(E177-F177)</f>
        <v/>
      </c>
      <c r="H177">
        <f>IF(G177=0,"Yes","No")</f>
        <v/>
      </c>
      <c r="I177" t="inlineStr">
        <is>
          <t>Partial</t>
        </is>
      </c>
      <c r="J177">
        <f>IF(I177="","",IF(AND(I177=C177,I177=D177),"Both",IF(I177=C177,"Opus",IF(I177=D177,"Sonnet","Neither"))))</f>
        <v/>
      </c>
    </row>
    <row r="178">
      <c r="A178" t="inlineStr">
        <is>
          <t>R064</t>
        </is>
      </c>
      <c r="B178" t="inlineStr">
        <is>
          <t>Q1</t>
        </is>
      </c>
      <c r="C178" t="inlineStr">
        <is>
          <t>Partial</t>
        </is>
      </c>
      <c r="D178" t="inlineStr">
        <is>
          <t>No</t>
        </is>
      </c>
      <c r="E178">
        <f>VLOOKUP(C178,CategoryMap,2,0)</f>
        <v/>
      </c>
      <c r="F178">
        <f>VLOOKUP(D178,CategoryMap,2,0)</f>
        <v/>
      </c>
      <c r="G178">
        <f>ABS(E178-F178)</f>
        <v/>
      </c>
      <c r="H178">
        <f>IF(G178=0,"Yes","No")</f>
        <v/>
      </c>
      <c r="I178" t="inlineStr">
        <is>
          <t>No</t>
        </is>
      </c>
      <c r="J178">
        <f>IF(I178="","",IF(AND(I178=C178,I178=D178),"Both",IF(I178=C178,"Opus",IF(I178=D178,"Sonnet","Neither"))))</f>
        <v/>
      </c>
    </row>
    <row r="179">
      <c r="A179" t="inlineStr">
        <is>
          <t>R064</t>
        </is>
      </c>
      <c r="B179" t="inlineStr">
        <is>
          <t>Q2</t>
        </is>
      </c>
      <c r="C179" t="inlineStr">
        <is>
          <t>Partial</t>
        </is>
      </c>
      <c r="D179" t="inlineStr">
        <is>
          <t>No</t>
        </is>
      </c>
      <c r="E179">
        <f>VLOOKUP(C179,CategoryMap,2,0)</f>
        <v/>
      </c>
      <c r="F179">
        <f>VLOOKUP(D179,CategoryMap,2,0)</f>
        <v/>
      </c>
      <c r="G179">
        <f>ABS(E179-F179)</f>
        <v/>
      </c>
      <c r="H179">
        <f>IF(G179=0,"Yes","No")</f>
        <v/>
      </c>
      <c r="I179" t="inlineStr">
        <is>
          <t>No</t>
        </is>
      </c>
      <c r="J179">
        <f>IF(I179="","",IF(AND(I179=C179,I179=D179),"Both",IF(I179=C179,"Opus",IF(I179=D179,"Sonnet","Neither"))))</f>
        <v/>
      </c>
    </row>
    <row r="180">
      <c r="A180" t="inlineStr">
        <is>
          <t>R064</t>
        </is>
      </c>
      <c r="B180" t="inlineStr">
        <is>
          <t>Q3</t>
        </is>
      </c>
      <c r="C180" t="inlineStr">
        <is>
          <t>Yes</t>
        </is>
      </c>
      <c r="D180" t="inlineStr">
        <is>
          <t>No</t>
        </is>
      </c>
      <c r="E180">
        <f>VLOOKUP(C180,CategoryMap,2,0)</f>
        <v/>
      </c>
      <c r="F180">
        <f>VLOOKUP(D180,CategoryMap,2,0)</f>
        <v/>
      </c>
      <c r="G180">
        <f>ABS(E180-F180)</f>
        <v/>
      </c>
      <c r="H180">
        <f>IF(G180=0,"Yes","No")</f>
        <v/>
      </c>
      <c r="I180" t="inlineStr">
        <is>
          <t>Partial</t>
        </is>
      </c>
      <c r="J180">
        <f>IF(I180="","",IF(AND(I180=C180,I180=D180),"Both",IF(I180=C180,"Opus",IF(I180=D180,"Sonnet","Neither"))))</f>
        <v/>
      </c>
    </row>
    <row r="181">
      <c r="A181" t="inlineStr">
        <is>
          <t>R064</t>
        </is>
      </c>
      <c r="B181" t="inlineStr">
        <is>
          <t>Q4</t>
        </is>
      </c>
      <c r="C181" t="inlineStr">
        <is>
          <t>Partial</t>
        </is>
      </c>
      <c r="D181" t="inlineStr">
        <is>
          <t>Yes</t>
        </is>
      </c>
      <c r="E181">
        <f>VLOOKUP(C181,CategoryMap,2,0)</f>
        <v/>
      </c>
      <c r="F181">
        <f>VLOOKUP(D181,CategoryMap,2,0)</f>
        <v/>
      </c>
      <c r="G181">
        <f>ABS(E181-F181)</f>
        <v/>
      </c>
      <c r="H181">
        <f>IF(G181=0,"Yes","No")</f>
        <v/>
      </c>
      <c r="I181" t="inlineStr">
        <is>
          <t>Partial</t>
        </is>
      </c>
      <c r="J181">
        <f>IF(I181="","",IF(AND(I181=C181,I181=D181),"Both",IF(I181=C181,"Opus",IF(I181=D181,"Sonnet","Neither"))))</f>
        <v/>
      </c>
    </row>
    <row r="182">
      <c r="A182" t="inlineStr">
        <is>
          <t>R064</t>
        </is>
      </c>
      <c r="B182" t="inlineStr">
        <is>
          <t>Q5</t>
        </is>
      </c>
      <c r="C182" t="inlineStr">
        <is>
          <t>Partial</t>
        </is>
      </c>
      <c r="D182" t="inlineStr">
        <is>
          <t>Yes</t>
        </is>
      </c>
      <c r="E182">
        <f>VLOOKUP(C182,CategoryMap,2,0)</f>
        <v/>
      </c>
      <c r="F182">
        <f>VLOOKUP(D182,CategoryMap,2,0)</f>
        <v/>
      </c>
      <c r="G182">
        <f>ABS(E182-F182)</f>
        <v/>
      </c>
      <c r="H182">
        <f>IF(G182=0,"Yes","No")</f>
        <v/>
      </c>
      <c r="I182" t="inlineStr">
        <is>
          <t>Partial</t>
        </is>
      </c>
      <c r="J182">
        <f>IF(I182="","",IF(AND(I182=C182,I182=D182),"Both",IF(I182=C182,"Opus",IF(I182=D182,"Sonnet","Neither"))))</f>
        <v/>
      </c>
    </row>
    <row r="183">
      <c r="A183" t="inlineStr">
        <is>
          <t>R064</t>
        </is>
      </c>
      <c r="B183" t="inlineStr">
        <is>
          <t>Q6</t>
        </is>
      </c>
      <c r="C183" t="inlineStr">
        <is>
          <t>Partial</t>
        </is>
      </c>
      <c r="D183" t="inlineStr">
        <is>
          <t>Yes</t>
        </is>
      </c>
      <c r="E183">
        <f>VLOOKUP(C183,CategoryMap,2,0)</f>
        <v/>
      </c>
      <c r="F183">
        <f>VLOOKUP(D183,CategoryMap,2,0)</f>
        <v/>
      </c>
      <c r="G183">
        <f>ABS(E183-F183)</f>
        <v/>
      </c>
      <c r="H183">
        <f>IF(G183=0,"Yes","No")</f>
        <v/>
      </c>
      <c r="I183" t="inlineStr">
        <is>
          <t>Yes</t>
        </is>
      </c>
      <c r="J183">
        <f>IF(I183="","",IF(AND(I183=C183,I183=D183),"Both",IF(I183=C183,"Opus",IF(I183=D183,"Sonnet","Neither"))))</f>
        <v/>
      </c>
    </row>
    <row r="184">
      <c r="A184" t="inlineStr">
        <is>
          <t>R064</t>
        </is>
      </c>
      <c r="B184" t="inlineStr">
        <is>
          <t>Q7</t>
        </is>
      </c>
      <c r="C184" t="inlineStr">
        <is>
          <t>Yes</t>
        </is>
      </c>
      <c r="D184" t="inlineStr">
        <is>
          <t>Yes</t>
        </is>
      </c>
      <c r="E184">
        <f>VLOOKUP(C184,CategoryMap,2,0)</f>
        <v/>
      </c>
      <c r="F184">
        <f>VLOOKUP(D184,CategoryMap,2,0)</f>
        <v/>
      </c>
      <c r="G184">
        <f>ABS(E184-F184)</f>
        <v/>
      </c>
      <c r="H184">
        <f>IF(G184=0,"Yes","No")</f>
        <v/>
      </c>
      <c r="I184" t="inlineStr">
        <is>
          <t>Yes</t>
        </is>
      </c>
      <c r="J184">
        <f>IF(I184="","",IF(AND(I184=C184,I184=D184),"Both",IF(I184=C184,"Opus",IF(I184=D184,"Sonnet","Neither"))))</f>
        <v/>
      </c>
    </row>
    <row r="185">
      <c r="A185" t="inlineStr">
        <is>
          <t>R064</t>
        </is>
      </c>
      <c r="B185" t="inlineStr">
        <is>
          <t>Q8</t>
        </is>
      </c>
      <c r="C185" t="inlineStr">
        <is>
          <t>Partial</t>
        </is>
      </c>
      <c r="D185" t="inlineStr">
        <is>
          <t>No</t>
        </is>
      </c>
      <c r="E185">
        <f>VLOOKUP(C185,CategoryMap,2,0)</f>
        <v/>
      </c>
      <c r="F185">
        <f>VLOOKUP(D185,CategoryMap,2,0)</f>
        <v/>
      </c>
      <c r="G185">
        <f>ABS(E185-F185)</f>
        <v/>
      </c>
      <c r="H185">
        <f>IF(G185=0,"Yes","No")</f>
        <v/>
      </c>
      <c r="I185" t="inlineStr">
        <is>
          <t>No</t>
        </is>
      </c>
      <c r="J185">
        <f>IF(I185="","",IF(AND(I185=C185,I185=D185),"Both",IF(I185=C185,"Opus",IF(I185=D185,"Sonnet","Neither"))))</f>
        <v/>
      </c>
    </row>
    <row r="186">
      <c r="A186" t="inlineStr">
        <is>
          <t>R068</t>
        </is>
      </c>
      <c r="B186" t="inlineStr">
        <is>
          <t>Q1</t>
        </is>
      </c>
      <c r="C186" t="inlineStr">
        <is>
          <t>Partial</t>
        </is>
      </c>
      <c r="D186" t="inlineStr">
        <is>
          <t>No</t>
        </is>
      </c>
      <c r="E186">
        <f>VLOOKUP(C186,CategoryMap,2,0)</f>
        <v/>
      </c>
      <c r="F186">
        <f>VLOOKUP(D186,CategoryMap,2,0)</f>
        <v/>
      </c>
      <c r="G186">
        <f>ABS(E186-F186)</f>
        <v/>
      </c>
      <c r="H186">
        <f>IF(G186=0,"Yes","No")</f>
        <v/>
      </c>
      <c r="I186" t="inlineStr">
        <is>
          <t>No</t>
        </is>
      </c>
      <c r="J186">
        <f>IF(I186="","",IF(AND(I186=C186,I186=D186),"Both",IF(I186=C186,"Opus",IF(I186=D186,"Sonnet","Neither"))))</f>
        <v/>
      </c>
    </row>
    <row r="187">
      <c r="A187" t="inlineStr">
        <is>
          <t>R068</t>
        </is>
      </c>
      <c r="B187" t="inlineStr">
        <is>
          <t>Q2</t>
        </is>
      </c>
      <c r="C187" t="inlineStr">
        <is>
          <t>Yes</t>
        </is>
      </c>
      <c r="D187" t="inlineStr">
        <is>
          <t>Partial</t>
        </is>
      </c>
      <c r="E187">
        <f>VLOOKUP(C187,CategoryMap,2,0)</f>
        <v/>
      </c>
      <c r="F187">
        <f>VLOOKUP(D187,CategoryMap,2,0)</f>
        <v/>
      </c>
      <c r="G187">
        <f>ABS(E187-F187)</f>
        <v/>
      </c>
      <c r="H187">
        <f>IF(G187=0,"Yes","No")</f>
        <v/>
      </c>
      <c r="I187" t="inlineStr">
        <is>
          <t>Partial</t>
        </is>
      </c>
      <c r="J187">
        <f>IF(I187="","",IF(AND(I187=C187,I187=D187),"Both",IF(I187=C187,"Opus",IF(I187=D187,"Sonnet","Neither"))))</f>
        <v/>
      </c>
    </row>
    <row r="188">
      <c r="A188" t="inlineStr">
        <is>
          <t>R068</t>
        </is>
      </c>
      <c r="B188" t="inlineStr">
        <is>
          <t>Q3</t>
        </is>
      </c>
      <c r="C188" t="inlineStr">
        <is>
          <t>Yes</t>
        </is>
      </c>
      <c r="D188" t="inlineStr">
        <is>
          <t>No</t>
        </is>
      </c>
      <c r="E188">
        <f>VLOOKUP(C188,CategoryMap,2,0)</f>
        <v/>
      </c>
      <c r="F188">
        <f>VLOOKUP(D188,CategoryMap,2,0)</f>
        <v/>
      </c>
      <c r="G188">
        <f>ABS(E188-F188)</f>
        <v/>
      </c>
      <c r="H188">
        <f>IF(G188=0,"Yes","No")</f>
        <v/>
      </c>
      <c r="I188" t="inlineStr">
        <is>
          <t>No</t>
        </is>
      </c>
      <c r="J188">
        <f>IF(I188="","",IF(AND(I188=C188,I188=D188),"Both",IF(I188=C188,"Opus",IF(I188=D188,"Sonnet","Neither"))))</f>
        <v/>
      </c>
    </row>
    <row r="189">
      <c r="A189" t="inlineStr">
        <is>
          <t>R068</t>
        </is>
      </c>
      <c r="B189" t="inlineStr">
        <is>
          <t>Q4</t>
        </is>
      </c>
      <c r="C189" t="inlineStr">
        <is>
          <t>Partial</t>
        </is>
      </c>
      <c r="D189" t="inlineStr">
        <is>
          <t>Partial</t>
        </is>
      </c>
      <c r="E189">
        <f>VLOOKUP(C189,CategoryMap,2,0)</f>
        <v/>
      </c>
      <c r="F189">
        <f>VLOOKUP(D189,CategoryMap,2,0)</f>
        <v/>
      </c>
      <c r="G189">
        <f>ABS(E189-F189)</f>
        <v/>
      </c>
      <c r="H189">
        <f>IF(G189=0,"Yes","No")</f>
        <v/>
      </c>
      <c r="I189" t="inlineStr">
        <is>
          <t>Partial</t>
        </is>
      </c>
      <c r="J189">
        <f>IF(I189="","",IF(AND(I189=C189,I189=D189),"Both",IF(I189=C189,"Opus",IF(I189=D189,"Sonnet","Neither"))))</f>
        <v/>
      </c>
    </row>
    <row r="190">
      <c r="A190" t="inlineStr">
        <is>
          <t>R068</t>
        </is>
      </c>
      <c r="B190" t="inlineStr">
        <is>
          <t>Q5</t>
        </is>
      </c>
      <c r="C190" t="inlineStr">
        <is>
          <t>Yes</t>
        </is>
      </c>
      <c r="D190" t="inlineStr">
        <is>
          <t>Yes</t>
        </is>
      </c>
      <c r="E190">
        <f>VLOOKUP(C190,CategoryMap,2,0)</f>
        <v/>
      </c>
      <c r="F190">
        <f>VLOOKUP(D190,CategoryMap,2,0)</f>
        <v/>
      </c>
      <c r="G190">
        <f>ABS(E190-F190)</f>
        <v/>
      </c>
      <c r="H190">
        <f>IF(G190=0,"Yes","No")</f>
        <v/>
      </c>
      <c r="I190" t="inlineStr">
        <is>
          <t>Yes</t>
        </is>
      </c>
      <c r="J190">
        <f>IF(I190="","",IF(AND(I190=C190,I190=D190),"Both",IF(I190=C190,"Opus",IF(I190=D190,"Sonnet","Neither"))))</f>
        <v/>
      </c>
    </row>
    <row r="191">
      <c r="A191" t="inlineStr">
        <is>
          <t>R068</t>
        </is>
      </c>
      <c r="B191" t="inlineStr">
        <is>
          <t>Q6</t>
        </is>
      </c>
      <c r="C191" t="inlineStr">
        <is>
          <t>Yes</t>
        </is>
      </c>
      <c r="D191" t="inlineStr">
        <is>
          <t>Yes</t>
        </is>
      </c>
      <c r="E191">
        <f>VLOOKUP(C191,CategoryMap,2,0)</f>
        <v/>
      </c>
      <c r="F191">
        <f>VLOOKUP(D191,CategoryMap,2,0)</f>
        <v/>
      </c>
      <c r="G191">
        <f>ABS(E191-F191)</f>
        <v/>
      </c>
      <c r="H191">
        <f>IF(G191=0,"Yes","No")</f>
        <v/>
      </c>
      <c r="I191" t="inlineStr">
        <is>
          <t>Yes</t>
        </is>
      </c>
      <c r="J191">
        <f>IF(I191="","",IF(AND(I191=C191,I191=D191),"Both",IF(I191=C191,"Opus",IF(I191=D191,"Sonnet","Neither"))))</f>
        <v/>
      </c>
    </row>
    <row r="192">
      <c r="A192" t="inlineStr">
        <is>
          <t>R068</t>
        </is>
      </c>
      <c r="B192" t="inlineStr">
        <is>
          <t>Q7</t>
        </is>
      </c>
      <c r="C192" t="inlineStr">
        <is>
          <t>Partial</t>
        </is>
      </c>
      <c r="D192" t="inlineStr">
        <is>
          <t>Yes</t>
        </is>
      </c>
      <c r="E192">
        <f>VLOOKUP(C192,CategoryMap,2,0)</f>
        <v/>
      </c>
      <c r="F192">
        <f>VLOOKUP(D192,CategoryMap,2,0)</f>
        <v/>
      </c>
      <c r="G192">
        <f>ABS(E192-F192)</f>
        <v/>
      </c>
      <c r="H192">
        <f>IF(G192=0,"Yes","No")</f>
        <v/>
      </c>
      <c r="I192" t="inlineStr">
        <is>
          <t>Partial</t>
        </is>
      </c>
      <c r="J192">
        <f>IF(I192="","",IF(AND(I192=C192,I192=D192),"Both",IF(I192=C192,"Opus",IF(I192=D192,"Sonnet","Neither"))))</f>
        <v/>
      </c>
    </row>
    <row r="193">
      <c r="A193" t="inlineStr">
        <is>
          <t>R068</t>
        </is>
      </c>
      <c r="B193" t="inlineStr">
        <is>
          <t>Q8</t>
        </is>
      </c>
      <c r="C193" t="inlineStr">
        <is>
          <t>Partial</t>
        </is>
      </c>
      <c r="D193" t="inlineStr">
        <is>
          <t>Partial</t>
        </is>
      </c>
      <c r="E193">
        <f>VLOOKUP(C193,CategoryMap,2,0)</f>
        <v/>
      </c>
      <c r="F193">
        <f>VLOOKUP(D193,CategoryMap,2,0)</f>
        <v/>
      </c>
      <c r="G193">
        <f>ABS(E193-F193)</f>
        <v/>
      </c>
      <c r="H193">
        <f>IF(G193=0,"Yes","No")</f>
        <v/>
      </c>
      <c r="I193" t="inlineStr">
        <is>
          <t>Partial</t>
        </is>
      </c>
      <c r="J193">
        <f>IF(I193="","",IF(AND(I193=C193,I193=D193),"Both",IF(I193=C193,"Opus",IF(I193=D193,"Sonnet","Neither"))))</f>
        <v/>
      </c>
    </row>
    <row r="194">
      <c r="A194" t="inlineStr">
        <is>
          <t>R071</t>
        </is>
      </c>
      <c r="B194" t="inlineStr">
        <is>
          <t>Q1</t>
        </is>
      </c>
      <c r="C194" t="inlineStr">
        <is>
          <t>Partial</t>
        </is>
      </c>
      <c r="D194" t="inlineStr">
        <is>
          <t>Partial</t>
        </is>
      </c>
      <c r="E194">
        <f>VLOOKUP(C194,CategoryMap,2,0)</f>
        <v/>
      </c>
      <c r="F194">
        <f>VLOOKUP(D194,CategoryMap,2,0)</f>
        <v/>
      </c>
      <c r="G194">
        <f>ABS(E194-F194)</f>
        <v/>
      </c>
      <c r="H194">
        <f>IF(G194=0,"Yes","No")</f>
        <v/>
      </c>
      <c r="I194" t="inlineStr">
        <is>
          <t>Partial</t>
        </is>
      </c>
      <c r="J194">
        <f>IF(I194="","",IF(AND(I194=C194,I194=D194),"Both",IF(I194=C194,"Opus",IF(I194=D194,"Sonnet","Neither"))))</f>
        <v/>
      </c>
    </row>
    <row r="195">
      <c r="A195" t="inlineStr">
        <is>
          <t>R071</t>
        </is>
      </c>
      <c r="B195" t="inlineStr">
        <is>
          <t>Q2</t>
        </is>
      </c>
      <c r="C195" t="inlineStr">
        <is>
          <t>Partial</t>
        </is>
      </c>
      <c r="D195" t="inlineStr">
        <is>
          <t>Partial</t>
        </is>
      </c>
      <c r="E195">
        <f>VLOOKUP(C195,CategoryMap,2,0)</f>
        <v/>
      </c>
      <c r="F195">
        <f>VLOOKUP(D195,CategoryMap,2,0)</f>
        <v/>
      </c>
      <c r="G195">
        <f>ABS(E195-F195)</f>
        <v/>
      </c>
      <c r="H195">
        <f>IF(G195=0,"Yes","No")</f>
        <v/>
      </c>
      <c r="I195" t="inlineStr">
        <is>
          <t>Partial</t>
        </is>
      </c>
      <c r="J195">
        <f>IF(I195="","",IF(AND(I195=C195,I195=D195),"Both",IF(I195=C195,"Opus",IF(I195=D195,"Sonnet","Neither"))))</f>
        <v/>
      </c>
    </row>
    <row r="196">
      <c r="A196" t="inlineStr">
        <is>
          <t>R071</t>
        </is>
      </c>
      <c r="B196" t="inlineStr">
        <is>
          <t>Q3</t>
        </is>
      </c>
      <c r="C196" t="inlineStr">
        <is>
          <t>Yes</t>
        </is>
      </c>
      <c r="D196" t="inlineStr">
        <is>
          <t>Partial</t>
        </is>
      </c>
      <c r="E196">
        <f>VLOOKUP(C196,CategoryMap,2,0)</f>
        <v/>
      </c>
      <c r="F196">
        <f>VLOOKUP(D196,CategoryMap,2,0)</f>
        <v/>
      </c>
      <c r="G196">
        <f>ABS(E196-F196)</f>
        <v/>
      </c>
      <c r="H196">
        <f>IF(G196=0,"Yes","No")</f>
        <v/>
      </c>
      <c r="I196" t="inlineStr">
        <is>
          <t>Yes</t>
        </is>
      </c>
      <c r="J196">
        <f>IF(I196="","",IF(AND(I196=C196,I196=D196),"Both",IF(I196=C196,"Opus",IF(I196=D196,"Sonnet","Neither"))))</f>
        <v/>
      </c>
    </row>
    <row r="197">
      <c r="A197" t="inlineStr">
        <is>
          <t>R071</t>
        </is>
      </c>
      <c r="B197" t="inlineStr">
        <is>
          <t>Q4</t>
        </is>
      </c>
      <c r="C197" t="inlineStr">
        <is>
          <t>Partial</t>
        </is>
      </c>
      <c r="D197" t="inlineStr">
        <is>
          <t>Partial</t>
        </is>
      </c>
      <c r="E197">
        <f>VLOOKUP(C197,CategoryMap,2,0)</f>
        <v/>
      </c>
      <c r="F197">
        <f>VLOOKUP(D197,CategoryMap,2,0)</f>
        <v/>
      </c>
      <c r="G197">
        <f>ABS(E197-F197)</f>
        <v/>
      </c>
      <c r="H197">
        <f>IF(G197=0,"Yes","No")</f>
        <v/>
      </c>
      <c r="I197" t="inlineStr">
        <is>
          <t>Partial</t>
        </is>
      </c>
      <c r="J197">
        <f>IF(I197="","",IF(AND(I197=C197,I197=D197),"Both",IF(I197=C197,"Opus",IF(I197=D197,"Sonnet","Neither"))))</f>
        <v/>
      </c>
    </row>
    <row r="198">
      <c r="A198" t="inlineStr">
        <is>
          <t>R071</t>
        </is>
      </c>
      <c r="B198" t="inlineStr">
        <is>
          <t>Q5</t>
        </is>
      </c>
      <c r="C198" t="inlineStr">
        <is>
          <t>Yes</t>
        </is>
      </c>
      <c r="D198" t="inlineStr">
        <is>
          <t>Yes</t>
        </is>
      </c>
      <c r="E198">
        <f>VLOOKUP(C198,CategoryMap,2,0)</f>
        <v/>
      </c>
      <c r="F198">
        <f>VLOOKUP(D198,CategoryMap,2,0)</f>
        <v/>
      </c>
      <c r="G198">
        <f>ABS(E198-F198)</f>
        <v/>
      </c>
      <c r="H198">
        <f>IF(G198=0,"Yes","No")</f>
        <v/>
      </c>
      <c r="I198" t="inlineStr">
        <is>
          <t>Yes</t>
        </is>
      </c>
      <c r="J198">
        <f>IF(I198="","",IF(AND(I198=C198,I198=D198),"Both",IF(I198=C198,"Opus",IF(I198=D198,"Sonnet","Neither"))))</f>
        <v/>
      </c>
    </row>
    <row r="199">
      <c r="A199" t="inlineStr">
        <is>
          <t>R071</t>
        </is>
      </c>
      <c r="B199" t="inlineStr">
        <is>
          <t>Q6</t>
        </is>
      </c>
      <c r="C199" t="inlineStr">
        <is>
          <t>Yes</t>
        </is>
      </c>
      <c r="D199" t="inlineStr">
        <is>
          <t>Yes</t>
        </is>
      </c>
      <c r="E199">
        <f>VLOOKUP(C199,CategoryMap,2,0)</f>
        <v/>
      </c>
      <c r="F199">
        <f>VLOOKUP(D199,CategoryMap,2,0)</f>
        <v/>
      </c>
      <c r="G199">
        <f>ABS(E199-F199)</f>
        <v/>
      </c>
      <c r="H199">
        <f>IF(G199=0,"Yes","No")</f>
        <v/>
      </c>
      <c r="I199" t="inlineStr">
        <is>
          <t>Yes</t>
        </is>
      </c>
      <c r="J199">
        <f>IF(I199="","",IF(AND(I199=C199,I199=D199),"Both",IF(I199=C199,"Opus",IF(I199=D199,"Sonnet","Neither"))))</f>
        <v/>
      </c>
    </row>
    <row r="200">
      <c r="A200" t="inlineStr">
        <is>
          <t>R071</t>
        </is>
      </c>
      <c r="B200" t="inlineStr">
        <is>
          <t>Q7</t>
        </is>
      </c>
      <c r="C200" t="inlineStr">
        <is>
          <t>Yes</t>
        </is>
      </c>
      <c r="D200" t="inlineStr">
        <is>
          <t>Yes</t>
        </is>
      </c>
      <c r="E200">
        <f>VLOOKUP(C200,CategoryMap,2,0)</f>
        <v/>
      </c>
      <c r="F200">
        <f>VLOOKUP(D200,CategoryMap,2,0)</f>
        <v/>
      </c>
      <c r="G200">
        <f>ABS(E200-F200)</f>
        <v/>
      </c>
      <c r="H200">
        <f>IF(G200=0,"Yes","No")</f>
        <v/>
      </c>
      <c r="I200" t="inlineStr">
        <is>
          <t>Yes</t>
        </is>
      </c>
      <c r="J200">
        <f>IF(I200="","",IF(AND(I200=C200,I200=D200),"Both",IF(I200=C200,"Opus",IF(I200=D200,"Sonnet","Neither"))))</f>
        <v/>
      </c>
    </row>
    <row r="201">
      <c r="A201" t="inlineStr">
        <is>
          <t>R071</t>
        </is>
      </c>
      <c r="B201" t="inlineStr">
        <is>
          <t>Q8</t>
        </is>
      </c>
      <c r="C201" t="inlineStr">
        <is>
          <t>Partial</t>
        </is>
      </c>
      <c r="D201" t="inlineStr">
        <is>
          <t>Partial</t>
        </is>
      </c>
      <c r="E201">
        <f>VLOOKUP(C201,CategoryMap,2,0)</f>
        <v/>
      </c>
      <c r="F201">
        <f>VLOOKUP(D201,CategoryMap,2,0)</f>
        <v/>
      </c>
      <c r="G201">
        <f>ABS(E201-F201)</f>
        <v/>
      </c>
      <c r="H201">
        <f>IF(G201=0,"Yes","No")</f>
        <v/>
      </c>
      <c r="I201" t="inlineStr">
        <is>
          <t>Partial</t>
        </is>
      </c>
      <c r="J201">
        <f>IF(I201="","",IF(AND(I201=C201,I201=D201),"Both",IF(I201=C201,"Opus",IF(I201=D201,"Sonnet","Neither"))))</f>
        <v/>
      </c>
    </row>
    <row r="202">
      <c r="A202" t="inlineStr">
        <is>
          <t>R072</t>
        </is>
      </c>
      <c r="B202" t="inlineStr">
        <is>
          <t>Q1</t>
        </is>
      </c>
      <c r="C202" t="inlineStr">
        <is>
          <t>Yes</t>
        </is>
      </c>
      <c r="D202" t="inlineStr">
        <is>
          <t>Yes</t>
        </is>
      </c>
      <c r="E202">
        <f>VLOOKUP(C202,CategoryMap,2,0)</f>
        <v/>
      </c>
      <c r="F202">
        <f>VLOOKUP(D202,CategoryMap,2,0)</f>
        <v/>
      </c>
      <c r="G202">
        <f>ABS(E202-F202)</f>
        <v/>
      </c>
      <c r="H202">
        <f>IF(G202=0,"Yes","No")</f>
        <v/>
      </c>
      <c r="I202" t="inlineStr">
        <is>
          <t>Yes</t>
        </is>
      </c>
      <c r="J202">
        <f>IF(I202="","",IF(AND(I202=C202,I202=D202),"Both",IF(I202=C202,"Opus",IF(I202=D202,"Sonnet","Neither"))))</f>
        <v/>
      </c>
    </row>
    <row r="203">
      <c r="A203" t="inlineStr">
        <is>
          <t>R072</t>
        </is>
      </c>
      <c r="B203" t="inlineStr">
        <is>
          <t>Q2</t>
        </is>
      </c>
      <c r="C203" t="inlineStr">
        <is>
          <t>Partial</t>
        </is>
      </c>
      <c r="D203" t="inlineStr">
        <is>
          <t>Partial</t>
        </is>
      </c>
      <c r="E203">
        <f>VLOOKUP(C203,CategoryMap,2,0)</f>
        <v/>
      </c>
      <c r="F203">
        <f>VLOOKUP(D203,CategoryMap,2,0)</f>
        <v/>
      </c>
      <c r="G203">
        <f>ABS(E203-F203)</f>
        <v/>
      </c>
      <c r="H203">
        <f>IF(G203=0,"Yes","No")</f>
        <v/>
      </c>
      <c r="I203" t="inlineStr">
        <is>
          <t>Partial</t>
        </is>
      </c>
      <c r="J203">
        <f>IF(I203="","",IF(AND(I203=C203,I203=D203),"Both",IF(I203=C203,"Opus",IF(I203=D203,"Sonnet","Neither"))))</f>
        <v/>
      </c>
    </row>
    <row r="204">
      <c r="A204" t="inlineStr">
        <is>
          <t>R072</t>
        </is>
      </c>
      <c r="B204" t="inlineStr">
        <is>
          <t>Q3</t>
        </is>
      </c>
      <c r="C204" t="inlineStr">
        <is>
          <t>Yes</t>
        </is>
      </c>
      <c r="D204" t="inlineStr">
        <is>
          <t>Yes</t>
        </is>
      </c>
      <c r="E204">
        <f>VLOOKUP(C204,CategoryMap,2,0)</f>
        <v/>
      </c>
      <c r="F204">
        <f>VLOOKUP(D204,CategoryMap,2,0)</f>
        <v/>
      </c>
      <c r="G204">
        <f>ABS(E204-F204)</f>
        <v/>
      </c>
      <c r="H204">
        <f>IF(G204=0,"Yes","No")</f>
        <v/>
      </c>
      <c r="I204" t="inlineStr">
        <is>
          <t>Yes</t>
        </is>
      </c>
      <c r="J204">
        <f>IF(I204="","",IF(AND(I204=C204,I204=D204),"Both",IF(I204=C204,"Opus",IF(I204=D204,"Sonnet","Neither"))))</f>
        <v/>
      </c>
    </row>
    <row r="205">
      <c r="A205" t="inlineStr">
        <is>
          <t>R072</t>
        </is>
      </c>
      <c r="B205" t="inlineStr">
        <is>
          <t>Q4</t>
        </is>
      </c>
      <c r="C205" t="inlineStr">
        <is>
          <t>Partial</t>
        </is>
      </c>
      <c r="D205" t="inlineStr">
        <is>
          <t>Partial</t>
        </is>
      </c>
      <c r="E205">
        <f>VLOOKUP(C205,CategoryMap,2,0)</f>
        <v/>
      </c>
      <c r="F205">
        <f>VLOOKUP(D205,CategoryMap,2,0)</f>
        <v/>
      </c>
      <c r="G205">
        <f>ABS(E205-F205)</f>
        <v/>
      </c>
      <c r="H205">
        <f>IF(G205=0,"Yes","No")</f>
        <v/>
      </c>
      <c r="I205" t="inlineStr">
        <is>
          <t>Partial</t>
        </is>
      </c>
      <c r="J205">
        <f>IF(I205="","",IF(AND(I205=C205,I205=D205),"Both",IF(I205=C205,"Opus",IF(I205=D205,"Sonnet","Neither"))))</f>
        <v/>
      </c>
    </row>
    <row r="206">
      <c r="A206" t="inlineStr">
        <is>
          <t>R072</t>
        </is>
      </c>
      <c r="B206" t="inlineStr">
        <is>
          <t>Q5</t>
        </is>
      </c>
      <c r="C206" t="inlineStr">
        <is>
          <t>Partial</t>
        </is>
      </c>
      <c r="D206" t="inlineStr">
        <is>
          <t>Partial</t>
        </is>
      </c>
      <c r="E206">
        <f>VLOOKUP(C206,CategoryMap,2,0)</f>
        <v/>
      </c>
      <c r="F206">
        <f>VLOOKUP(D206,CategoryMap,2,0)</f>
        <v/>
      </c>
      <c r="G206">
        <f>ABS(E206-F206)</f>
        <v/>
      </c>
      <c r="H206">
        <f>IF(G206=0,"Yes","No")</f>
        <v/>
      </c>
      <c r="I206" t="inlineStr">
        <is>
          <t>Partial</t>
        </is>
      </c>
      <c r="J206">
        <f>IF(I206="","",IF(AND(I206=C206,I206=D206),"Both",IF(I206=C206,"Opus",IF(I206=D206,"Sonnet","Neither"))))</f>
        <v/>
      </c>
    </row>
    <row r="207">
      <c r="A207" t="inlineStr">
        <is>
          <t>R072</t>
        </is>
      </c>
      <c r="B207" t="inlineStr">
        <is>
          <t>Q6</t>
        </is>
      </c>
      <c r="C207" t="inlineStr">
        <is>
          <t>Partial</t>
        </is>
      </c>
      <c r="D207" t="inlineStr">
        <is>
          <t>Yes</t>
        </is>
      </c>
      <c r="E207">
        <f>VLOOKUP(C207,CategoryMap,2,0)</f>
        <v/>
      </c>
      <c r="F207">
        <f>VLOOKUP(D207,CategoryMap,2,0)</f>
        <v/>
      </c>
      <c r="G207">
        <f>ABS(E207-F207)</f>
        <v/>
      </c>
      <c r="H207">
        <f>IF(G207=0,"Yes","No")</f>
        <v/>
      </c>
      <c r="I207" t="inlineStr">
        <is>
          <t>Yes</t>
        </is>
      </c>
      <c r="J207">
        <f>IF(I207="","",IF(AND(I207=C207,I207=D207),"Both",IF(I207=C207,"Opus",IF(I207=D207,"Sonnet","Neither"))))</f>
        <v/>
      </c>
    </row>
    <row r="208">
      <c r="A208" t="inlineStr">
        <is>
          <t>R072</t>
        </is>
      </c>
      <c r="B208" t="inlineStr">
        <is>
          <t>Q7</t>
        </is>
      </c>
      <c r="C208" t="inlineStr">
        <is>
          <t>Yes</t>
        </is>
      </c>
      <c r="D208" t="inlineStr">
        <is>
          <t>Yes</t>
        </is>
      </c>
      <c r="E208">
        <f>VLOOKUP(C208,CategoryMap,2,0)</f>
        <v/>
      </c>
      <c r="F208">
        <f>VLOOKUP(D208,CategoryMap,2,0)</f>
        <v/>
      </c>
      <c r="G208">
        <f>ABS(E208-F208)</f>
        <v/>
      </c>
      <c r="H208">
        <f>IF(G208=0,"Yes","No")</f>
        <v/>
      </c>
      <c r="I208" t="inlineStr">
        <is>
          <t>Yes</t>
        </is>
      </c>
      <c r="J208">
        <f>IF(I208="","",IF(AND(I208=C208,I208=D208),"Both",IF(I208=C208,"Opus",IF(I208=D208,"Sonnet","Neither"))))</f>
        <v/>
      </c>
    </row>
    <row r="209">
      <c r="A209" t="inlineStr">
        <is>
          <t>R072</t>
        </is>
      </c>
      <c r="B209" t="inlineStr">
        <is>
          <t>Q8</t>
        </is>
      </c>
      <c r="C209" t="inlineStr">
        <is>
          <t>Yes</t>
        </is>
      </c>
      <c r="D209" t="inlineStr">
        <is>
          <t>Partial</t>
        </is>
      </c>
      <c r="E209">
        <f>VLOOKUP(C209,CategoryMap,2,0)</f>
        <v/>
      </c>
      <c r="F209">
        <f>VLOOKUP(D209,CategoryMap,2,0)</f>
        <v/>
      </c>
      <c r="G209">
        <f>ABS(E209-F209)</f>
        <v/>
      </c>
      <c r="H209">
        <f>IF(G209=0,"Yes","No")</f>
        <v/>
      </c>
      <c r="I209" t="inlineStr">
        <is>
          <t>Yes</t>
        </is>
      </c>
      <c r="J209">
        <f>IF(I209="","",IF(AND(I209=C209,I209=D209),"Both",IF(I209=C209,"Opus",IF(I209=D209,"Sonnet","Neither"))))</f>
        <v/>
      </c>
    </row>
    <row r="210">
      <c r="A210" t="inlineStr">
        <is>
          <t>R074</t>
        </is>
      </c>
      <c r="B210" t="inlineStr">
        <is>
          <t>Q1</t>
        </is>
      </c>
      <c r="C210" t="inlineStr">
        <is>
          <t>Yes</t>
        </is>
      </c>
      <c r="D210" t="inlineStr">
        <is>
          <t>Partial</t>
        </is>
      </c>
      <c r="E210">
        <f>VLOOKUP(C210,CategoryMap,2,0)</f>
        <v/>
      </c>
      <c r="F210">
        <f>VLOOKUP(D210,CategoryMap,2,0)</f>
        <v/>
      </c>
      <c r="G210">
        <f>ABS(E210-F210)</f>
        <v/>
      </c>
      <c r="H210">
        <f>IF(G210=0,"Yes","No")</f>
        <v/>
      </c>
      <c r="I210" t="inlineStr">
        <is>
          <t>Partial</t>
        </is>
      </c>
      <c r="J210">
        <f>IF(I210="","",IF(AND(I210=C210,I210=D210),"Both",IF(I210=C210,"Opus",IF(I210=D210,"Sonnet","Neither"))))</f>
        <v/>
      </c>
    </row>
    <row r="211">
      <c r="A211" t="inlineStr">
        <is>
          <t>R074</t>
        </is>
      </c>
      <c r="B211" t="inlineStr">
        <is>
          <t>Q2</t>
        </is>
      </c>
      <c r="C211" t="inlineStr">
        <is>
          <t>Yes</t>
        </is>
      </c>
      <c r="D211" t="inlineStr">
        <is>
          <t>Yes</t>
        </is>
      </c>
      <c r="E211">
        <f>VLOOKUP(C211,CategoryMap,2,0)</f>
        <v/>
      </c>
      <c r="F211">
        <f>VLOOKUP(D211,CategoryMap,2,0)</f>
        <v/>
      </c>
      <c r="G211">
        <f>ABS(E211-F211)</f>
        <v/>
      </c>
      <c r="H211">
        <f>IF(G211=0,"Yes","No")</f>
        <v/>
      </c>
      <c r="I211" t="inlineStr">
        <is>
          <t>Yes</t>
        </is>
      </c>
      <c r="J211">
        <f>IF(I211="","",IF(AND(I211=C211,I211=D211),"Both",IF(I211=C211,"Opus",IF(I211=D211,"Sonnet","Neither"))))</f>
        <v/>
      </c>
    </row>
    <row r="212">
      <c r="A212" t="inlineStr">
        <is>
          <t>R074</t>
        </is>
      </c>
      <c r="B212" t="inlineStr">
        <is>
          <t>Q3</t>
        </is>
      </c>
      <c r="C212" t="inlineStr">
        <is>
          <t>Yes</t>
        </is>
      </c>
      <c r="D212" t="inlineStr">
        <is>
          <t>Yes</t>
        </is>
      </c>
      <c r="E212">
        <f>VLOOKUP(C212,CategoryMap,2,0)</f>
        <v/>
      </c>
      <c r="F212">
        <f>VLOOKUP(D212,CategoryMap,2,0)</f>
        <v/>
      </c>
      <c r="G212">
        <f>ABS(E212-F212)</f>
        <v/>
      </c>
      <c r="H212">
        <f>IF(G212=0,"Yes","No")</f>
        <v/>
      </c>
      <c r="I212" t="inlineStr">
        <is>
          <t>Yes</t>
        </is>
      </c>
      <c r="J212">
        <f>IF(I212="","",IF(AND(I212=C212,I212=D212),"Both",IF(I212=C212,"Opus",IF(I212=D212,"Sonnet","Neither"))))</f>
        <v/>
      </c>
    </row>
    <row r="213">
      <c r="A213" t="inlineStr">
        <is>
          <t>R074</t>
        </is>
      </c>
      <c r="B213" t="inlineStr">
        <is>
          <t>Q4</t>
        </is>
      </c>
      <c r="C213" t="inlineStr">
        <is>
          <t>Partial</t>
        </is>
      </c>
      <c r="D213" t="inlineStr">
        <is>
          <t>Partial</t>
        </is>
      </c>
      <c r="E213">
        <f>VLOOKUP(C213,CategoryMap,2,0)</f>
        <v/>
      </c>
      <c r="F213">
        <f>VLOOKUP(D213,CategoryMap,2,0)</f>
        <v/>
      </c>
      <c r="G213">
        <f>ABS(E213-F213)</f>
        <v/>
      </c>
      <c r="H213">
        <f>IF(G213=0,"Yes","No")</f>
        <v/>
      </c>
      <c r="I213" t="inlineStr">
        <is>
          <t>Partial</t>
        </is>
      </c>
      <c r="J213">
        <f>IF(I213="","",IF(AND(I213=C213,I213=D213),"Both",IF(I213=C213,"Opus",IF(I213=D213,"Sonnet","Neither"))))</f>
        <v/>
      </c>
    </row>
    <row r="214">
      <c r="A214" t="inlineStr">
        <is>
          <t>R074</t>
        </is>
      </c>
      <c r="B214" t="inlineStr">
        <is>
          <t>Q5</t>
        </is>
      </c>
      <c r="C214" t="inlineStr">
        <is>
          <t>Yes</t>
        </is>
      </c>
      <c r="D214" t="inlineStr">
        <is>
          <t>Yes</t>
        </is>
      </c>
      <c r="E214">
        <f>VLOOKUP(C214,CategoryMap,2,0)</f>
        <v/>
      </c>
      <c r="F214">
        <f>VLOOKUP(D214,CategoryMap,2,0)</f>
        <v/>
      </c>
      <c r="G214">
        <f>ABS(E214-F214)</f>
        <v/>
      </c>
      <c r="H214">
        <f>IF(G214=0,"Yes","No")</f>
        <v/>
      </c>
      <c r="I214" t="inlineStr">
        <is>
          <t>Yes</t>
        </is>
      </c>
      <c r="J214">
        <f>IF(I214="","",IF(AND(I214=C214,I214=D214),"Both",IF(I214=C214,"Opus",IF(I214=D214,"Sonnet","Neither"))))</f>
        <v/>
      </c>
    </row>
    <row r="215">
      <c r="A215" t="inlineStr">
        <is>
          <t>R074</t>
        </is>
      </c>
      <c r="B215" t="inlineStr">
        <is>
          <t>Q6</t>
        </is>
      </c>
      <c r="C215" t="inlineStr">
        <is>
          <t>Yes</t>
        </is>
      </c>
      <c r="D215" t="inlineStr">
        <is>
          <t>Yes</t>
        </is>
      </c>
      <c r="E215">
        <f>VLOOKUP(C215,CategoryMap,2,0)</f>
        <v/>
      </c>
      <c r="F215">
        <f>VLOOKUP(D215,CategoryMap,2,0)</f>
        <v/>
      </c>
      <c r="G215">
        <f>ABS(E215-F215)</f>
        <v/>
      </c>
      <c r="H215">
        <f>IF(G215=0,"Yes","No")</f>
        <v/>
      </c>
      <c r="I215" t="inlineStr">
        <is>
          <t>Yes</t>
        </is>
      </c>
      <c r="J215">
        <f>IF(I215="","",IF(AND(I215=C215,I215=D215),"Both",IF(I215=C215,"Opus",IF(I215=D215,"Sonnet","Neither"))))</f>
        <v/>
      </c>
    </row>
    <row r="216">
      <c r="A216" t="inlineStr">
        <is>
          <t>R074</t>
        </is>
      </c>
      <c r="B216" t="inlineStr">
        <is>
          <t>Q7</t>
        </is>
      </c>
      <c r="C216" t="inlineStr">
        <is>
          <t>Partial</t>
        </is>
      </c>
      <c r="D216" t="inlineStr">
        <is>
          <t>Partial</t>
        </is>
      </c>
      <c r="E216">
        <f>VLOOKUP(C216,CategoryMap,2,0)</f>
        <v/>
      </c>
      <c r="F216">
        <f>VLOOKUP(D216,CategoryMap,2,0)</f>
        <v/>
      </c>
      <c r="G216">
        <f>ABS(E216-F216)</f>
        <v/>
      </c>
      <c r="H216">
        <f>IF(G216=0,"Yes","No")</f>
        <v/>
      </c>
      <c r="I216" t="inlineStr">
        <is>
          <t>Partial</t>
        </is>
      </c>
      <c r="J216">
        <f>IF(I216="","",IF(AND(I216=C216,I216=D216),"Both",IF(I216=C216,"Opus",IF(I216=D216,"Sonnet","Neither"))))</f>
        <v/>
      </c>
    </row>
    <row r="217">
      <c r="A217" t="inlineStr">
        <is>
          <t>R074</t>
        </is>
      </c>
      <c r="B217" t="inlineStr">
        <is>
          <t>Q8</t>
        </is>
      </c>
      <c r="C217" t="inlineStr">
        <is>
          <t>Partial</t>
        </is>
      </c>
      <c r="D217" t="inlineStr">
        <is>
          <t>Partial</t>
        </is>
      </c>
      <c r="E217">
        <f>VLOOKUP(C217,CategoryMap,2,0)</f>
        <v/>
      </c>
      <c r="F217">
        <f>VLOOKUP(D217,CategoryMap,2,0)</f>
        <v/>
      </c>
      <c r="G217">
        <f>ABS(E217-F217)</f>
        <v/>
      </c>
      <c r="H217">
        <f>IF(G217=0,"Yes","No")</f>
        <v/>
      </c>
      <c r="I217" t="inlineStr">
        <is>
          <t>Partial</t>
        </is>
      </c>
      <c r="J217">
        <f>IF(I217="","",IF(AND(I217=C217,I217=D217),"Both",IF(I217=C217,"Opus",IF(I217=D217,"Sonnet","Neither"))))</f>
        <v/>
      </c>
    </row>
    <row r="218">
      <c r="A218" t="inlineStr">
        <is>
          <t>R076</t>
        </is>
      </c>
      <c r="B218" t="inlineStr">
        <is>
          <t>Q1</t>
        </is>
      </c>
      <c r="C218" t="inlineStr">
        <is>
          <t>No</t>
        </is>
      </c>
      <c r="D218" t="inlineStr">
        <is>
          <t>No</t>
        </is>
      </c>
      <c r="E218">
        <f>VLOOKUP(C218,CategoryMap,2,0)</f>
        <v/>
      </c>
      <c r="F218">
        <f>VLOOKUP(D218,CategoryMap,2,0)</f>
        <v/>
      </c>
      <c r="G218">
        <f>ABS(E218-F218)</f>
        <v/>
      </c>
      <c r="H218">
        <f>IF(G218=0,"Yes","No")</f>
        <v/>
      </c>
      <c r="I218" t="inlineStr">
        <is>
          <t>No</t>
        </is>
      </c>
      <c r="J218">
        <f>IF(I218="","",IF(AND(I218=C218,I218=D218),"Both",IF(I218=C218,"Opus",IF(I218=D218,"Sonnet","Neither"))))</f>
        <v/>
      </c>
    </row>
    <row r="219">
      <c r="A219" t="inlineStr">
        <is>
          <t>R076</t>
        </is>
      </c>
      <c r="B219" t="inlineStr">
        <is>
          <t>Q2</t>
        </is>
      </c>
      <c r="C219" t="inlineStr">
        <is>
          <t>Partial</t>
        </is>
      </c>
      <c r="D219" t="inlineStr">
        <is>
          <t>No</t>
        </is>
      </c>
      <c r="E219">
        <f>VLOOKUP(C219,CategoryMap,2,0)</f>
        <v/>
      </c>
      <c r="F219">
        <f>VLOOKUP(D219,CategoryMap,2,0)</f>
        <v/>
      </c>
      <c r="G219">
        <f>ABS(E219-F219)</f>
        <v/>
      </c>
      <c r="H219">
        <f>IF(G219=0,"Yes","No")</f>
        <v/>
      </c>
      <c r="I219" t="inlineStr">
        <is>
          <t>No</t>
        </is>
      </c>
      <c r="J219">
        <f>IF(I219="","",IF(AND(I219=C219,I219=D219),"Both",IF(I219=C219,"Opus",IF(I219=D219,"Sonnet","Neither"))))</f>
        <v/>
      </c>
    </row>
    <row r="220">
      <c r="A220" t="inlineStr">
        <is>
          <t>R076</t>
        </is>
      </c>
      <c r="B220" t="inlineStr">
        <is>
          <t>Q3</t>
        </is>
      </c>
      <c r="C220" t="inlineStr">
        <is>
          <t>Partial</t>
        </is>
      </c>
      <c r="D220" t="inlineStr">
        <is>
          <t>No</t>
        </is>
      </c>
      <c r="E220">
        <f>VLOOKUP(C220,CategoryMap,2,0)</f>
        <v/>
      </c>
      <c r="F220">
        <f>VLOOKUP(D220,CategoryMap,2,0)</f>
        <v/>
      </c>
      <c r="G220">
        <f>ABS(E220-F220)</f>
        <v/>
      </c>
      <c r="H220">
        <f>IF(G220=0,"Yes","No")</f>
        <v/>
      </c>
      <c r="I220" t="inlineStr">
        <is>
          <t>No</t>
        </is>
      </c>
      <c r="J220">
        <f>IF(I220="","",IF(AND(I220=C220,I220=D220),"Both",IF(I220=C220,"Opus",IF(I220=D220,"Sonnet","Neither"))))</f>
        <v/>
      </c>
    </row>
    <row r="221">
      <c r="A221" t="inlineStr">
        <is>
          <t>R076</t>
        </is>
      </c>
      <c r="B221" t="inlineStr">
        <is>
          <t>Q4</t>
        </is>
      </c>
      <c r="C221" t="inlineStr">
        <is>
          <t>No</t>
        </is>
      </c>
      <c r="D221" t="inlineStr">
        <is>
          <t>No</t>
        </is>
      </c>
      <c r="E221">
        <f>VLOOKUP(C221,CategoryMap,2,0)</f>
        <v/>
      </c>
      <c r="F221">
        <f>VLOOKUP(D221,CategoryMap,2,0)</f>
        <v/>
      </c>
      <c r="G221">
        <f>ABS(E221-F221)</f>
        <v/>
      </c>
      <c r="H221">
        <f>IF(G221=0,"Yes","No")</f>
        <v/>
      </c>
      <c r="I221" t="inlineStr">
        <is>
          <t>No</t>
        </is>
      </c>
      <c r="J221">
        <f>IF(I221="","",IF(AND(I221=C221,I221=D221),"Both",IF(I221=C221,"Opus",IF(I221=D221,"Sonnet","Neither"))))</f>
        <v/>
      </c>
    </row>
    <row r="222">
      <c r="A222" t="inlineStr">
        <is>
          <t>R076</t>
        </is>
      </c>
      <c r="B222" t="inlineStr">
        <is>
          <t>Q5</t>
        </is>
      </c>
      <c r="C222" t="inlineStr">
        <is>
          <t>No</t>
        </is>
      </c>
      <c r="D222" t="inlineStr">
        <is>
          <t>No</t>
        </is>
      </c>
      <c r="E222">
        <f>VLOOKUP(C222,CategoryMap,2,0)</f>
        <v/>
      </c>
      <c r="F222">
        <f>VLOOKUP(D222,CategoryMap,2,0)</f>
        <v/>
      </c>
      <c r="G222">
        <f>ABS(E222-F222)</f>
        <v/>
      </c>
      <c r="H222">
        <f>IF(G222=0,"Yes","No")</f>
        <v/>
      </c>
      <c r="I222" t="inlineStr">
        <is>
          <t>No</t>
        </is>
      </c>
      <c r="J222">
        <f>IF(I222="","",IF(AND(I222=C222,I222=D222),"Both",IF(I222=C222,"Opus",IF(I222=D222,"Sonnet","Neither"))))</f>
        <v/>
      </c>
    </row>
    <row r="223">
      <c r="A223" t="inlineStr">
        <is>
          <t>R076</t>
        </is>
      </c>
      <c r="B223" t="inlineStr">
        <is>
          <t>Q6</t>
        </is>
      </c>
      <c r="C223" t="inlineStr">
        <is>
          <t>No</t>
        </is>
      </c>
      <c r="D223" t="inlineStr">
        <is>
          <t>No</t>
        </is>
      </c>
      <c r="E223">
        <f>VLOOKUP(C223,CategoryMap,2,0)</f>
        <v/>
      </c>
      <c r="F223">
        <f>VLOOKUP(D223,CategoryMap,2,0)</f>
        <v/>
      </c>
      <c r="G223">
        <f>ABS(E223-F223)</f>
        <v/>
      </c>
      <c r="H223">
        <f>IF(G223=0,"Yes","No")</f>
        <v/>
      </c>
      <c r="I223" t="inlineStr">
        <is>
          <t>No</t>
        </is>
      </c>
      <c r="J223">
        <f>IF(I223="","",IF(AND(I223=C223,I223=D223),"Both",IF(I223=C223,"Opus",IF(I223=D223,"Sonnet","Neither"))))</f>
        <v/>
      </c>
    </row>
    <row r="224">
      <c r="A224" t="inlineStr">
        <is>
          <t>R076</t>
        </is>
      </c>
      <c r="B224" t="inlineStr">
        <is>
          <t>Q7</t>
        </is>
      </c>
      <c r="C224" t="inlineStr">
        <is>
          <t>No</t>
        </is>
      </c>
      <c r="D224" t="inlineStr">
        <is>
          <t>No</t>
        </is>
      </c>
      <c r="E224">
        <f>VLOOKUP(C224,CategoryMap,2,0)</f>
        <v/>
      </c>
      <c r="F224">
        <f>VLOOKUP(D224,CategoryMap,2,0)</f>
        <v/>
      </c>
      <c r="G224">
        <f>ABS(E224-F224)</f>
        <v/>
      </c>
      <c r="H224">
        <f>IF(G224=0,"Yes","No")</f>
        <v/>
      </c>
      <c r="I224" t="inlineStr">
        <is>
          <t>No</t>
        </is>
      </c>
      <c r="J224">
        <f>IF(I224="","",IF(AND(I224=C224,I224=D224),"Both",IF(I224=C224,"Opus",IF(I224=D224,"Sonnet","Neither"))))</f>
        <v/>
      </c>
    </row>
    <row r="225">
      <c r="A225" t="inlineStr">
        <is>
          <t>R076</t>
        </is>
      </c>
      <c r="B225" t="inlineStr">
        <is>
          <t>Q8</t>
        </is>
      </c>
      <c r="C225" t="inlineStr">
        <is>
          <t>No</t>
        </is>
      </c>
      <c r="D225" t="inlineStr">
        <is>
          <t>No</t>
        </is>
      </c>
      <c r="E225">
        <f>VLOOKUP(C225,CategoryMap,2,0)</f>
        <v/>
      </c>
      <c r="F225">
        <f>VLOOKUP(D225,CategoryMap,2,0)</f>
        <v/>
      </c>
      <c r="G225">
        <f>ABS(E225-F225)</f>
        <v/>
      </c>
      <c r="H225">
        <f>IF(G225=0,"Yes","No")</f>
        <v/>
      </c>
      <c r="I225" t="inlineStr">
        <is>
          <t>No</t>
        </is>
      </c>
      <c r="J225">
        <f>IF(I225="","",IF(AND(I225=C225,I225=D225),"Both",IF(I225=C225,"Opus",IF(I225=D225,"Sonnet","Neither"))))</f>
        <v/>
      </c>
    </row>
    <row r="226">
      <c r="A226" t="inlineStr">
        <is>
          <t>R077</t>
        </is>
      </c>
      <c r="B226" t="inlineStr">
        <is>
          <t>Q1</t>
        </is>
      </c>
      <c r="C226" t="inlineStr">
        <is>
          <t>Partial</t>
        </is>
      </c>
      <c r="D226" t="inlineStr">
        <is>
          <t>Partial</t>
        </is>
      </c>
      <c r="E226">
        <f>VLOOKUP(C226,CategoryMap,2,0)</f>
        <v/>
      </c>
      <c r="F226">
        <f>VLOOKUP(D226,CategoryMap,2,0)</f>
        <v/>
      </c>
      <c r="G226">
        <f>ABS(E226-F226)</f>
        <v/>
      </c>
      <c r="H226">
        <f>IF(G226=0,"Yes","No")</f>
        <v/>
      </c>
      <c r="I226" t="inlineStr">
        <is>
          <t>Partial</t>
        </is>
      </c>
      <c r="J226">
        <f>IF(I226="","",IF(AND(I226=C226,I226=D226),"Both",IF(I226=C226,"Opus",IF(I226=D226,"Sonnet","Neither"))))</f>
        <v/>
      </c>
    </row>
    <row r="227">
      <c r="A227" t="inlineStr">
        <is>
          <t>R077</t>
        </is>
      </c>
      <c r="B227" t="inlineStr">
        <is>
          <t>Q2</t>
        </is>
      </c>
      <c r="C227" t="inlineStr">
        <is>
          <t>Yes</t>
        </is>
      </c>
      <c r="D227" t="inlineStr">
        <is>
          <t>Partial</t>
        </is>
      </c>
      <c r="E227">
        <f>VLOOKUP(C227,CategoryMap,2,0)</f>
        <v/>
      </c>
      <c r="F227">
        <f>VLOOKUP(D227,CategoryMap,2,0)</f>
        <v/>
      </c>
      <c r="G227">
        <f>ABS(E227-F227)</f>
        <v/>
      </c>
      <c r="H227">
        <f>IF(G227=0,"Yes","No")</f>
        <v/>
      </c>
      <c r="I227" t="inlineStr">
        <is>
          <t>Partial</t>
        </is>
      </c>
      <c r="J227">
        <f>IF(I227="","",IF(AND(I227=C227,I227=D227),"Both",IF(I227=C227,"Opus",IF(I227=D227,"Sonnet","Neither"))))</f>
        <v/>
      </c>
    </row>
    <row r="228">
      <c r="A228" t="inlineStr">
        <is>
          <t>R077</t>
        </is>
      </c>
      <c r="B228" t="inlineStr">
        <is>
          <t>Q3</t>
        </is>
      </c>
      <c r="C228" t="inlineStr">
        <is>
          <t>Yes</t>
        </is>
      </c>
      <c r="D228" t="inlineStr">
        <is>
          <t>Yes</t>
        </is>
      </c>
      <c r="E228">
        <f>VLOOKUP(C228,CategoryMap,2,0)</f>
        <v/>
      </c>
      <c r="F228">
        <f>VLOOKUP(D228,CategoryMap,2,0)</f>
        <v/>
      </c>
      <c r="G228">
        <f>ABS(E228-F228)</f>
        <v/>
      </c>
      <c r="H228">
        <f>IF(G228=0,"Yes","No")</f>
        <v/>
      </c>
      <c r="I228" t="inlineStr">
        <is>
          <t>Yes</t>
        </is>
      </c>
      <c r="J228">
        <f>IF(I228="","",IF(AND(I228=C228,I228=D228),"Both",IF(I228=C228,"Opus",IF(I228=D228,"Sonnet","Neither"))))</f>
        <v/>
      </c>
    </row>
    <row r="229">
      <c r="A229" t="inlineStr">
        <is>
          <t>R077</t>
        </is>
      </c>
      <c r="B229" t="inlineStr">
        <is>
          <t>Q4</t>
        </is>
      </c>
      <c r="C229" t="inlineStr">
        <is>
          <t>Yes</t>
        </is>
      </c>
      <c r="D229" t="inlineStr">
        <is>
          <t>Yes</t>
        </is>
      </c>
      <c r="E229">
        <f>VLOOKUP(C229,CategoryMap,2,0)</f>
        <v/>
      </c>
      <c r="F229">
        <f>VLOOKUP(D229,CategoryMap,2,0)</f>
        <v/>
      </c>
      <c r="G229">
        <f>ABS(E229-F229)</f>
        <v/>
      </c>
      <c r="H229">
        <f>IF(G229=0,"Yes","No")</f>
        <v/>
      </c>
      <c r="I229" t="inlineStr">
        <is>
          <t>Yes</t>
        </is>
      </c>
      <c r="J229">
        <f>IF(I229="","",IF(AND(I229=C229,I229=D229),"Both",IF(I229=C229,"Opus",IF(I229=D229,"Sonnet","Neither"))))</f>
        <v/>
      </c>
    </row>
    <row r="230">
      <c r="A230" t="inlineStr">
        <is>
          <t>R077</t>
        </is>
      </c>
      <c r="B230" t="inlineStr">
        <is>
          <t>Q5</t>
        </is>
      </c>
      <c r="C230" t="inlineStr">
        <is>
          <t>Yes</t>
        </is>
      </c>
      <c r="D230" t="inlineStr">
        <is>
          <t>Yes</t>
        </is>
      </c>
      <c r="E230">
        <f>VLOOKUP(C230,CategoryMap,2,0)</f>
        <v/>
      </c>
      <c r="F230">
        <f>VLOOKUP(D230,CategoryMap,2,0)</f>
        <v/>
      </c>
      <c r="G230">
        <f>ABS(E230-F230)</f>
        <v/>
      </c>
      <c r="H230">
        <f>IF(G230=0,"Yes","No")</f>
        <v/>
      </c>
      <c r="I230" t="inlineStr">
        <is>
          <t>Yes</t>
        </is>
      </c>
      <c r="J230">
        <f>IF(I230="","",IF(AND(I230=C230,I230=D230),"Both",IF(I230=C230,"Opus",IF(I230=D230,"Sonnet","Neither"))))</f>
        <v/>
      </c>
    </row>
    <row r="231">
      <c r="A231" t="inlineStr">
        <is>
          <t>R077</t>
        </is>
      </c>
      <c r="B231" t="inlineStr">
        <is>
          <t>Q6</t>
        </is>
      </c>
      <c r="C231" t="inlineStr">
        <is>
          <t>Yes</t>
        </is>
      </c>
      <c r="D231" t="inlineStr">
        <is>
          <t>Yes</t>
        </is>
      </c>
      <c r="E231">
        <f>VLOOKUP(C231,CategoryMap,2,0)</f>
        <v/>
      </c>
      <c r="F231">
        <f>VLOOKUP(D231,CategoryMap,2,0)</f>
        <v/>
      </c>
      <c r="G231">
        <f>ABS(E231-F231)</f>
        <v/>
      </c>
      <c r="H231">
        <f>IF(G231=0,"Yes","No")</f>
        <v/>
      </c>
      <c r="I231" t="inlineStr">
        <is>
          <t>Yes</t>
        </is>
      </c>
      <c r="J231">
        <f>IF(I231="","",IF(AND(I231=C231,I231=D231),"Both",IF(I231=C231,"Opus",IF(I231=D231,"Sonnet","Neither"))))</f>
        <v/>
      </c>
    </row>
    <row r="232">
      <c r="A232" t="inlineStr">
        <is>
          <t>R077</t>
        </is>
      </c>
      <c r="B232" t="inlineStr">
        <is>
          <t>Q7</t>
        </is>
      </c>
      <c r="C232" t="inlineStr">
        <is>
          <t>Yes</t>
        </is>
      </c>
      <c r="D232" t="inlineStr">
        <is>
          <t>Yes</t>
        </is>
      </c>
      <c r="E232">
        <f>VLOOKUP(C232,CategoryMap,2,0)</f>
        <v/>
      </c>
      <c r="F232">
        <f>VLOOKUP(D232,CategoryMap,2,0)</f>
        <v/>
      </c>
      <c r="G232">
        <f>ABS(E232-F232)</f>
        <v/>
      </c>
      <c r="H232">
        <f>IF(G232=0,"Yes","No")</f>
        <v/>
      </c>
      <c r="I232" t="inlineStr">
        <is>
          <t>Yes</t>
        </is>
      </c>
      <c r="J232">
        <f>IF(I232="","",IF(AND(I232=C232,I232=D232),"Both",IF(I232=C232,"Opus",IF(I232=D232,"Sonnet","Neither"))))</f>
        <v/>
      </c>
    </row>
    <row r="233">
      <c r="A233" t="inlineStr">
        <is>
          <t>R077</t>
        </is>
      </c>
      <c r="B233" t="inlineStr">
        <is>
          <t>Q8</t>
        </is>
      </c>
      <c r="C233" t="inlineStr">
        <is>
          <t>Yes</t>
        </is>
      </c>
      <c r="D233" t="inlineStr">
        <is>
          <t>Partial</t>
        </is>
      </c>
      <c r="E233">
        <f>VLOOKUP(C233,CategoryMap,2,0)</f>
        <v/>
      </c>
      <c r="F233">
        <f>VLOOKUP(D233,CategoryMap,2,0)</f>
        <v/>
      </c>
      <c r="G233">
        <f>ABS(E233-F233)</f>
        <v/>
      </c>
      <c r="H233">
        <f>IF(G233=0,"Yes","No")</f>
        <v/>
      </c>
      <c r="I233" t="inlineStr">
        <is>
          <t>Partial</t>
        </is>
      </c>
      <c r="J233">
        <f>IF(I233="","",IF(AND(I233=C233,I233=D233),"Both",IF(I233=C233,"Opus",IF(I233=D233,"Sonnet","Neither"))))</f>
        <v/>
      </c>
    </row>
    <row r="234">
      <c r="A234" t="inlineStr">
        <is>
          <t>R084</t>
        </is>
      </c>
      <c r="B234" t="inlineStr">
        <is>
          <t>Q1</t>
        </is>
      </c>
      <c r="C234" t="inlineStr">
        <is>
          <t>Partial</t>
        </is>
      </c>
      <c r="D234" t="inlineStr">
        <is>
          <t>Partial</t>
        </is>
      </c>
      <c r="E234">
        <f>VLOOKUP(C234,CategoryMap,2,0)</f>
        <v/>
      </c>
      <c r="F234">
        <f>VLOOKUP(D234,CategoryMap,2,0)</f>
        <v/>
      </c>
      <c r="G234">
        <f>ABS(E234-F234)</f>
        <v/>
      </c>
      <c r="H234">
        <f>IF(G234=0,"Yes","No")</f>
        <v/>
      </c>
      <c r="I234" t="inlineStr">
        <is>
          <t>Partial</t>
        </is>
      </c>
      <c r="J234">
        <f>IF(I234="","",IF(AND(I234=C234,I234=D234),"Both",IF(I234=C234,"Opus",IF(I234=D234,"Sonnet","Neither"))))</f>
        <v/>
      </c>
    </row>
    <row r="235">
      <c r="A235" t="inlineStr">
        <is>
          <t>R084</t>
        </is>
      </c>
      <c r="B235" t="inlineStr">
        <is>
          <t>Q2</t>
        </is>
      </c>
      <c r="C235" t="inlineStr">
        <is>
          <t>Yes</t>
        </is>
      </c>
      <c r="D235" t="inlineStr">
        <is>
          <t>Yes</t>
        </is>
      </c>
      <c r="E235">
        <f>VLOOKUP(C235,CategoryMap,2,0)</f>
        <v/>
      </c>
      <c r="F235">
        <f>VLOOKUP(D235,CategoryMap,2,0)</f>
        <v/>
      </c>
      <c r="G235">
        <f>ABS(E235-F235)</f>
        <v/>
      </c>
      <c r="H235">
        <f>IF(G235=0,"Yes","No")</f>
        <v/>
      </c>
      <c r="I235" t="inlineStr">
        <is>
          <t>Yes</t>
        </is>
      </c>
      <c r="J235">
        <f>IF(I235="","",IF(AND(I235=C235,I235=D235),"Both",IF(I235=C235,"Opus",IF(I235=D235,"Sonnet","Neither"))))</f>
        <v/>
      </c>
    </row>
    <row r="236">
      <c r="A236" t="inlineStr">
        <is>
          <t>R084</t>
        </is>
      </c>
      <c r="B236" t="inlineStr">
        <is>
          <t>Q3</t>
        </is>
      </c>
      <c r="C236" t="inlineStr">
        <is>
          <t>Yes</t>
        </is>
      </c>
      <c r="D236" t="inlineStr">
        <is>
          <t>Yes</t>
        </is>
      </c>
      <c r="E236">
        <f>VLOOKUP(C236,CategoryMap,2,0)</f>
        <v/>
      </c>
      <c r="F236">
        <f>VLOOKUP(D236,CategoryMap,2,0)</f>
        <v/>
      </c>
      <c r="G236">
        <f>ABS(E236-F236)</f>
        <v/>
      </c>
      <c r="H236">
        <f>IF(G236=0,"Yes","No")</f>
        <v/>
      </c>
      <c r="I236" t="inlineStr">
        <is>
          <t>Yes</t>
        </is>
      </c>
      <c r="J236">
        <f>IF(I236="","",IF(AND(I236=C236,I236=D236),"Both",IF(I236=C236,"Opus",IF(I236=D236,"Sonnet","Neither"))))</f>
        <v/>
      </c>
    </row>
    <row r="237">
      <c r="A237" t="inlineStr">
        <is>
          <t>R084</t>
        </is>
      </c>
      <c r="B237" t="inlineStr">
        <is>
          <t>Q4</t>
        </is>
      </c>
      <c r="C237" t="inlineStr">
        <is>
          <t>No</t>
        </is>
      </c>
      <c r="D237" t="inlineStr">
        <is>
          <t>Partial</t>
        </is>
      </c>
      <c r="E237">
        <f>VLOOKUP(C237,CategoryMap,2,0)</f>
        <v/>
      </c>
      <c r="F237">
        <f>VLOOKUP(D237,CategoryMap,2,0)</f>
        <v/>
      </c>
      <c r="G237">
        <f>ABS(E237-F237)</f>
        <v/>
      </c>
      <c r="H237">
        <f>IF(G237=0,"Yes","No")</f>
        <v/>
      </c>
      <c r="I237" t="inlineStr">
        <is>
          <t>No</t>
        </is>
      </c>
      <c r="J237">
        <f>IF(I237="","",IF(AND(I237=C237,I237=D237),"Both",IF(I237=C237,"Opus",IF(I237=D237,"Sonnet","Neither"))))</f>
        <v/>
      </c>
    </row>
    <row r="238">
      <c r="A238" t="inlineStr">
        <is>
          <t>R084</t>
        </is>
      </c>
      <c r="B238" t="inlineStr">
        <is>
          <t>Q5</t>
        </is>
      </c>
      <c r="C238" t="inlineStr">
        <is>
          <t>Partial</t>
        </is>
      </c>
      <c r="D238" t="inlineStr">
        <is>
          <t>Partial</t>
        </is>
      </c>
      <c r="E238">
        <f>VLOOKUP(C238,CategoryMap,2,0)</f>
        <v/>
      </c>
      <c r="F238">
        <f>VLOOKUP(D238,CategoryMap,2,0)</f>
        <v/>
      </c>
      <c r="G238">
        <f>ABS(E238-F238)</f>
        <v/>
      </c>
      <c r="H238">
        <f>IF(G238=0,"Yes","No")</f>
        <v/>
      </c>
      <c r="I238" t="inlineStr">
        <is>
          <t>Partial</t>
        </is>
      </c>
      <c r="J238">
        <f>IF(I238="","",IF(AND(I238=C238,I238=D238),"Both",IF(I238=C238,"Opus",IF(I238=D238,"Sonnet","Neither"))))</f>
        <v/>
      </c>
    </row>
    <row r="239">
      <c r="A239" t="inlineStr">
        <is>
          <t>R084</t>
        </is>
      </c>
      <c r="B239" t="inlineStr">
        <is>
          <t>Q6</t>
        </is>
      </c>
      <c r="C239" t="inlineStr">
        <is>
          <t>Yes</t>
        </is>
      </c>
      <c r="D239" t="inlineStr">
        <is>
          <t>Partial</t>
        </is>
      </c>
      <c r="E239">
        <f>VLOOKUP(C239,CategoryMap,2,0)</f>
        <v/>
      </c>
      <c r="F239">
        <f>VLOOKUP(D239,CategoryMap,2,0)</f>
        <v/>
      </c>
      <c r="G239">
        <f>ABS(E239-F239)</f>
        <v/>
      </c>
      <c r="H239">
        <f>IF(G239=0,"Yes","No")</f>
        <v/>
      </c>
      <c r="I239" t="inlineStr">
        <is>
          <t>Partial</t>
        </is>
      </c>
      <c r="J239">
        <f>IF(I239="","",IF(AND(I239=C239,I239=D239),"Both",IF(I239=C239,"Opus",IF(I239=D239,"Sonnet","Neither"))))</f>
        <v/>
      </c>
    </row>
    <row r="240">
      <c r="A240" t="inlineStr">
        <is>
          <t>R084</t>
        </is>
      </c>
      <c r="B240" t="inlineStr">
        <is>
          <t>Q7</t>
        </is>
      </c>
      <c r="C240" t="inlineStr">
        <is>
          <t>Yes</t>
        </is>
      </c>
      <c r="D240" t="inlineStr">
        <is>
          <t>Yes</t>
        </is>
      </c>
      <c r="E240">
        <f>VLOOKUP(C240,CategoryMap,2,0)</f>
        <v/>
      </c>
      <c r="F240">
        <f>VLOOKUP(D240,CategoryMap,2,0)</f>
        <v/>
      </c>
      <c r="G240">
        <f>ABS(E240-F240)</f>
        <v/>
      </c>
      <c r="H240">
        <f>IF(G240=0,"Yes","No")</f>
        <v/>
      </c>
      <c r="I240" t="inlineStr">
        <is>
          <t>Yes</t>
        </is>
      </c>
      <c r="J240">
        <f>IF(I240="","",IF(AND(I240=C240,I240=D240),"Both",IF(I240=C240,"Opus",IF(I240=D240,"Sonnet","Neither"))))</f>
        <v/>
      </c>
    </row>
    <row r="241">
      <c r="A241" t="inlineStr">
        <is>
          <t>R084</t>
        </is>
      </c>
      <c r="B241" t="inlineStr">
        <is>
          <t>Q8</t>
        </is>
      </c>
      <c r="C241" t="inlineStr">
        <is>
          <t>Partial</t>
        </is>
      </c>
      <c r="D241" t="inlineStr">
        <is>
          <t>Partial</t>
        </is>
      </c>
      <c r="E241">
        <f>VLOOKUP(C241,CategoryMap,2,0)</f>
        <v/>
      </c>
      <c r="F241">
        <f>VLOOKUP(D241,CategoryMap,2,0)</f>
        <v/>
      </c>
      <c r="G241">
        <f>ABS(E241-F241)</f>
        <v/>
      </c>
      <c r="H241">
        <f>IF(G241=0,"Yes","No")</f>
        <v/>
      </c>
      <c r="I241" t="inlineStr">
        <is>
          <t>Partial</t>
        </is>
      </c>
      <c r="J241">
        <f>IF(I241="","",IF(AND(I241=C241,I241=D241),"Both",IF(I241=C241,"Opus",IF(I241=D241,"Sonnet","Neither"))))</f>
        <v/>
      </c>
    </row>
    <row r="242">
      <c r="A242" t="inlineStr">
        <is>
          <t>R087</t>
        </is>
      </c>
      <c r="B242" t="inlineStr">
        <is>
          <t>Q1</t>
        </is>
      </c>
      <c r="C242" t="inlineStr">
        <is>
          <t>Partial</t>
        </is>
      </c>
      <c r="D242" t="inlineStr">
        <is>
          <t>No</t>
        </is>
      </c>
      <c r="E242">
        <f>VLOOKUP(C242,CategoryMap,2,0)</f>
        <v/>
      </c>
      <c r="F242">
        <f>VLOOKUP(D242,CategoryMap,2,0)</f>
        <v/>
      </c>
      <c r="G242">
        <f>ABS(E242-F242)</f>
        <v/>
      </c>
      <c r="H242">
        <f>IF(G242=0,"Yes","No")</f>
        <v/>
      </c>
      <c r="I242" t="inlineStr">
        <is>
          <t>No</t>
        </is>
      </c>
      <c r="J242">
        <f>IF(I242="","",IF(AND(I242=C242,I242=D242),"Both",IF(I242=C242,"Opus",IF(I242=D242,"Sonnet","Neither"))))</f>
        <v/>
      </c>
    </row>
    <row r="243">
      <c r="A243" t="inlineStr">
        <is>
          <t>R087</t>
        </is>
      </c>
      <c r="B243" t="inlineStr">
        <is>
          <t>Q2</t>
        </is>
      </c>
      <c r="C243" t="inlineStr">
        <is>
          <t>Partial</t>
        </is>
      </c>
      <c r="D243" t="inlineStr">
        <is>
          <t>No</t>
        </is>
      </c>
      <c r="E243">
        <f>VLOOKUP(C243,CategoryMap,2,0)</f>
        <v/>
      </c>
      <c r="F243">
        <f>VLOOKUP(D243,CategoryMap,2,0)</f>
        <v/>
      </c>
      <c r="G243">
        <f>ABS(E243-F243)</f>
        <v/>
      </c>
      <c r="H243">
        <f>IF(G243=0,"Yes","No")</f>
        <v/>
      </c>
      <c r="I243" t="inlineStr">
        <is>
          <t>No</t>
        </is>
      </c>
      <c r="J243">
        <f>IF(I243="","",IF(AND(I243=C243,I243=D243),"Both",IF(I243=C243,"Opus",IF(I243=D243,"Sonnet","Neither"))))</f>
        <v/>
      </c>
    </row>
    <row r="244">
      <c r="A244" t="inlineStr">
        <is>
          <t>R087</t>
        </is>
      </c>
      <c r="B244" t="inlineStr">
        <is>
          <t>Q3</t>
        </is>
      </c>
      <c r="C244" t="inlineStr">
        <is>
          <t>Yes</t>
        </is>
      </c>
      <c r="D244" t="inlineStr">
        <is>
          <t>No</t>
        </is>
      </c>
      <c r="E244">
        <f>VLOOKUP(C244,CategoryMap,2,0)</f>
        <v/>
      </c>
      <c r="F244">
        <f>VLOOKUP(D244,CategoryMap,2,0)</f>
        <v/>
      </c>
      <c r="G244">
        <f>ABS(E244-F244)</f>
        <v/>
      </c>
      <c r="H244">
        <f>IF(G244=0,"Yes","No")</f>
        <v/>
      </c>
      <c r="I244" t="inlineStr">
        <is>
          <t>Partial</t>
        </is>
      </c>
      <c r="J244">
        <f>IF(I244="","",IF(AND(I244=C244,I244=D244),"Both",IF(I244=C244,"Opus",IF(I244=D244,"Sonnet","Neither"))))</f>
        <v/>
      </c>
    </row>
    <row r="245">
      <c r="A245" t="inlineStr">
        <is>
          <t>R087</t>
        </is>
      </c>
      <c r="B245" t="inlineStr">
        <is>
          <t>Q4</t>
        </is>
      </c>
      <c r="C245" t="inlineStr">
        <is>
          <t>Partial</t>
        </is>
      </c>
      <c r="D245" t="inlineStr">
        <is>
          <t>Yes</t>
        </is>
      </c>
      <c r="E245">
        <f>VLOOKUP(C245,CategoryMap,2,0)</f>
        <v/>
      </c>
      <c r="F245">
        <f>VLOOKUP(D245,CategoryMap,2,0)</f>
        <v/>
      </c>
      <c r="G245">
        <f>ABS(E245-F245)</f>
        <v/>
      </c>
      <c r="H245">
        <f>IF(G245=0,"Yes","No")</f>
        <v/>
      </c>
      <c r="I245" t="inlineStr">
        <is>
          <t>Partial</t>
        </is>
      </c>
      <c r="J245">
        <f>IF(I245="","",IF(AND(I245=C245,I245=D245),"Both",IF(I245=C245,"Opus",IF(I245=D245,"Sonnet","Neither"))))</f>
        <v/>
      </c>
    </row>
    <row r="246">
      <c r="A246" t="inlineStr">
        <is>
          <t>R087</t>
        </is>
      </c>
      <c r="B246" t="inlineStr">
        <is>
          <t>Q5</t>
        </is>
      </c>
      <c r="C246" t="inlineStr">
        <is>
          <t>Yes</t>
        </is>
      </c>
      <c r="D246" t="inlineStr">
        <is>
          <t>Yes</t>
        </is>
      </c>
      <c r="E246">
        <f>VLOOKUP(C246,CategoryMap,2,0)</f>
        <v/>
      </c>
      <c r="F246">
        <f>VLOOKUP(D246,CategoryMap,2,0)</f>
        <v/>
      </c>
      <c r="G246">
        <f>ABS(E246-F246)</f>
        <v/>
      </c>
      <c r="H246">
        <f>IF(G246=0,"Yes","No")</f>
        <v/>
      </c>
      <c r="I246" t="inlineStr">
        <is>
          <t>Yes</t>
        </is>
      </c>
      <c r="J246">
        <f>IF(I246="","",IF(AND(I246=C246,I246=D246),"Both",IF(I246=C246,"Opus",IF(I246=D246,"Sonnet","Neither"))))</f>
        <v/>
      </c>
    </row>
    <row r="247">
      <c r="A247" t="inlineStr">
        <is>
          <t>R087</t>
        </is>
      </c>
      <c r="B247" t="inlineStr">
        <is>
          <t>Q6</t>
        </is>
      </c>
      <c r="C247" t="inlineStr">
        <is>
          <t>Partial</t>
        </is>
      </c>
      <c r="D247" t="inlineStr">
        <is>
          <t>Yes</t>
        </is>
      </c>
      <c r="E247">
        <f>VLOOKUP(C247,CategoryMap,2,0)</f>
        <v/>
      </c>
      <c r="F247">
        <f>VLOOKUP(D247,CategoryMap,2,0)</f>
        <v/>
      </c>
      <c r="G247">
        <f>ABS(E247-F247)</f>
        <v/>
      </c>
      <c r="H247">
        <f>IF(G247=0,"Yes","No")</f>
        <v/>
      </c>
      <c r="I247" t="inlineStr">
        <is>
          <t>Partial</t>
        </is>
      </c>
      <c r="J247">
        <f>IF(I247="","",IF(AND(I247=C247,I247=D247),"Both",IF(I247=C247,"Opus",IF(I247=D247,"Sonnet","Neither"))))</f>
        <v/>
      </c>
    </row>
    <row r="248">
      <c r="A248" t="inlineStr">
        <is>
          <t>R087</t>
        </is>
      </c>
      <c r="B248" t="inlineStr">
        <is>
          <t>Q7</t>
        </is>
      </c>
      <c r="C248" t="inlineStr">
        <is>
          <t>No</t>
        </is>
      </c>
      <c r="D248" t="inlineStr">
        <is>
          <t>No</t>
        </is>
      </c>
      <c r="E248">
        <f>VLOOKUP(C248,CategoryMap,2,0)</f>
        <v/>
      </c>
      <c r="F248">
        <f>VLOOKUP(D248,CategoryMap,2,0)</f>
        <v/>
      </c>
      <c r="G248">
        <f>ABS(E248-F248)</f>
        <v/>
      </c>
      <c r="H248">
        <f>IF(G248=0,"Yes","No")</f>
        <v/>
      </c>
      <c r="I248" t="inlineStr">
        <is>
          <t>No</t>
        </is>
      </c>
      <c r="J248">
        <f>IF(I248="","",IF(AND(I248=C248,I248=D248),"Both",IF(I248=C248,"Opus",IF(I248=D248,"Sonnet","Neither"))))</f>
        <v/>
      </c>
    </row>
    <row r="249">
      <c r="A249" t="inlineStr">
        <is>
          <t>R087</t>
        </is>
      </c>
      <c r="B249" t="inlineStr">
        <is>
          <t>Q8</t>
        </is>
      </c>
      <c r="C249" t="inlineStr">
        <is>
          <t>No</t>
        </is>
      </c>
      <c r="D249" t="inlineStr">
        <is>
          <t>No</t>
        </is>
      </c>
      <c r="E249">
        <f>VLOOKUP(C249,CategoryMap,2,0)</f>
        <v/>
      </c>
      <c r="F249">
        <f>VLOOKUP(D249,CategoryMap,2,0)</f>
        <v/>
      </c>
      <c r="G249">
        <f>ABS(E249-F249)</f>
        <v/>
      </c>
      <c r="H249">
        <f>IF(G249=0,"Yes","No")</f>
        <v/>
      </c>
      <c r="I249" t="inlineStr">
        <is>
          <t>No</t>
        </is>
      </c>
      <c r="J249">
        <f>IF(I249="","",IF(AND(I249=C249,I249=D249),"Both",IF(I249=C249,"Opus",IF(I249=D249,"Sonnet","Neither"))))</f>
        <v/>
      </c>
    </row>
    <row r="250">
      <c r="A250" t="inlineStr">
        <is>
          <t>R090</t>
        </is>
      </c>
      <c r="B250" t="inlineStr">
        <is>
          <t>Q1</t>
        </is>
      </c>
      <c r="C250" t="inlineStr">
        <is>
          <t>Yes</t>
        </is>
      </c>
      <c r="D250" t="inlineStr">
        <is>
          <t>Yes</t>
        </is>
      </c>
      <c r="E250">
        <f>VLOOKUP(C250,CategoryMap,2,0)</f>
        <v/>
      </c>
      <c r="F250">
        <f>VLOOKUP(D250,CategoryMap,2,0)</f>
        <v/>
      </c>
      <c r="G250">
        <f>ABS(E250-F250)</f>
        <v/>
      </c>
      <c r="H250">
        <f>IF(G250=0,"Yes","No")</f>
        <v/>
      </c>
      <c r="I250" t="inlineStr">
        <is>
          <t>Yes</t>
        </is>
      </c>
      <c r="J250">
        <f>IF(I250="","",IF(AND(I250=C250,I250=D250),"Both",IF(I250=C250,"Opus",IF(I250=D250,"Sonnet","Neither"))))</f>
        <v/>
      </c>
    </row>
    <row r="251">
      <c r="A251" t="inlineStr">
        <is>
          <t>R090</t>
        </is>
      </c>
      <c r="B251" t="inlineStr">
        <is>
          <t>Q2</t>
        </is>
      </c>
      <c r="C251" t="inlineStr">
        <is>
          <t>Yes</t>
        </is>
      </c>
      <c r="D251" t="inlineStr">
        <is>
          <t>Yes</t>
        </is>
      </c>
      <c r="E251">
        <f>VLOOKUP(C251,CategoryMap,2,0)</f>
        <v/>
      </c>
      <c r="F251">
        <f>VLOOKUP(D251,CategoryMap,2,0)</f>
        <v/>
      </c>
      <c r="G251">
        <f>ABS(E251-F251)</f>
        <v/>
      </c>
      <c r="H251">
        <f>IF(G251=0,"Yes","No")</f>
        <v/>
      </c>
      <c r="I251" t="inlineStr">
        <is>
          <t>Yes</t>
        </is>
      </c>
      <c r="J251">
        <f>IF(I251="","",IF(AND(I251=C251,I251=D251),"Both",IF(I251=C251,"Opus",IF(I251=D251,"Sonnet","Neither"))))</f>
        <v/>
      </c>
    </row>
    <row r="252">
      <c r="A252" t="inlineStr">
        <is>
          <t>R090</t>
        </is>
      </c>
      <c r="B252" t="inlineStr">
        <is>
          <t>Q3</t>
        </is>
      </c>
      <c r="C252" t="inlineStr">
        <is>
          <t>Yes</t>
        </is>
      </c>
      <c r="D252" t="inlineStr">
        <is>
          <t>Yes</t>
        </is>
      </c>
      <c r="E252">
        <f>VLOOKUP(C252,CategoryMap,2,0)</f>
        <v/>
      </c>
      <c r="F252">
        <f>VLOOKUP(D252,CategoryMap,2,0)</f>
        <v/>
      </c>
      <c r="G252">
        <f>ABS(E252-F252)</f>
        <v/>
      </c>
      <c r="H252">
        <f>IF(G252=0,"Yes","No")</f>
        <v/>
      </c>
      <c r="I252" t="inlineStr">
        <is>
          <t>Yes</t>
        </is>
      </c>
      <c r="J252">
        <f>IF(I252="","",IF(AND(I252=C252,I252=D252),"Both",IF(I252=C252,"Opus",IF(I252=D252,"Sonnet","Neither"))))</f>
        <v/>
      </c>
    </row>
    <row r="253">
      <c r="A253" t="inlineStr">
        <is>
          <t>R090</t>
        </is>
      </c>
      <c r="B253" t="inlineStr">
        <is>
          <t>Q4</t>
        </is>
      </c>
      <c r="C253" t="inlineStr">
        <is>
          <t>Partial</t>
        </is>
      </c>
      <c r="D253" t="inlineStr">
        <is>
          <t>Yes</t>
        </is>
      </c>
      <c r="E253">
        <f>VLOOKUP(C253,CategoryMap,2,0)</f>
        <v/>
      </c>
      <c r="F253">
        <f>VLOOKUP(D253,CategoryMap,2,0)</f>
        <v/>
      </c>
      <c r="G253">
        <f>ABS(E253-F253)</f>
        <v/>
      </c>
      <c r="H253">
        <f>IF(G253=0,"Yes","No")</f>
        <v/>
      </c>
      <c r="I253" t="inlineStr">
        <is>
          <t>Partial</t>
        </is>
      </c>
      <c r="J253">
        <f>IF(I253="","",IF(AND(I253=C253,I253=D253),"Both",IF(I253=C253,"Opus",IF(I253=D253,"Sonnet","Neither"))))</f>
        <v/>
      </c>
    </row>
    <row r="254">
      <c r="A254" t="inlineStr">
        <is>
          <t>R090</t>
        </is>
      </c>
      <c r="B254" t="inlineStr">
        <is>
          <t>Q5</t>
        </is>
      </c>
      <c r="C254" t="inlineStr">
        <is>
          <t>Yes</t>
        </is>
      </c>
      <c r="D254" t="inlineStr">
        <is>
          <t>Yes</t>
        </is>
      </c>
      <c r="E254">
        <f>VLOOKUP(C254,CategoryMap,2,0)</f>
        <v/>
      </c>
      <c r="F254">
        <f>VLOOKUP(D254,CategoryMap,2,0)</f>
        <v/>
      </c>
      <c r="G254">
        <f>ABS(E254-F254)</f>
        <v/>
      </c>
      <c r="H254">
        <f>IF(G254=0,"Yes","No")</f>
        <v/>
      </c>
      <c r="I254" t="inlineStr">
        <is>
          <t>Yes</t>
        </is>
      </c>
      <c r="J254">
        <f>IF(I254="","",IF(AND(I254=C254,I254=D254),"Both",IF(I254=C254,"Opus",IF(I254=D254,"Sonnet","Neither"))))</f>
        <v/>
      </c>
    </row>
    <row r="255">
      <c r="A255" t="inlineStr">
        <is>
          <t>R090</t>
        </is>
      </c>
      <c r="B255" t="inlineStr">
        <is>
          <t>Q6</t>
        </is>
      </c>
      <c r="C255" t="inlineStr">
        <is>
          <t>Yes</t>
        </is>
      </c>
      <c r="D255" t="inlineStr">
        <is>
          <t>Yes</t>
        </is>
      </c>
      <c r="E255">
        <f>VLOOKUP(C255,CategoryMap,2,0)</f>
        <v/>
      </c>
      <c r="F255">
        <f>VLOOKUP(D255,CategoryMap,2,0)</f>
        <v/>
      </c>
      <c r="G255">
        <f>ABS(E255-F255)</f>
        <v/>
      </c>
      <c r="H255">
        <f>IF(G255=0,"Yes","No")</f>
        <v/>
      </c>
      <c r="I255" t="inlineStr">
        <is>
          <t>Yes</t>
        </is>
      </c>
      <c r="J255">
        <f>IF(I255="","",IF(AND(I255=C255,I255=D255),"Both",IF(I255=C255,"Opus",IF(I255=D255,"Sonnet","Neither"))))</f>
        <v/>
      </c>
    </row>
    <row r="256">
      <c r="A256" t="inlineStr">
        <is>
          <t>R090</t>
        </is>
      </c>
      <c r="B256" t="inlineStr">
        <is>
          <t>Q7</t>
        </is>
      </c>
      <c r="C256" t="inlineStr">
        <is>
          <t>Yes</t>
        </is>
      </c>
      <c r="D256" t="inlineStr">
        <is>
          <t>Yes</t>
        </is>
      </c>
      <c r="E256">
        <f>VLOOKUP(C256,CategoryMap,2,0)</f>
        <v/>
      </c>
      <c r="F256">
        <f>VLOOKUP(D256,CategoryMap,2,0)</f>
        <v/>
      </c>
      <c r="G256">
        <f>ABS(E256-F256)</f>
        <v/>
      </c>
      <c r="H256">
        <f>IF(G256=0,"Yes","No")</f>
        <v/>
      </c>
      <c r="I256" t="inlineStr">
        <is>
          <t>Yes</t>
        </is>
      </c>
      <c r="J256">
        <f>IF(I256="","",IF(AND(I256=C256,I256=D256),"Both",IF(I256=C256,"Opus",IF(I256=D256,"Sonnet","Neither"))))</f>
        <v/>
      </c>
    </row>
    <row r="257">
      <c r="A257" t="inlineStr">
        <is>
          <t>R090</t>
        </is>
      </c>
      <c r="B257" t="inlineStr">
        <is>
          <t>Q8</t>
        </is>
      </c>
      <c r="C257" t="inlineStr">
        <is>
          <t>Partial</t>
        </is>
      </c>
      <c r="D257" t="inlineStr">
        <is>
          <t>Partial</t>
        </is>
      </c>
      <c r="E257">
        <f>VLOOKUP(C257,CategoryMap,2,0)</f>
        <v/>
      </c>
      <c r="F257">
        <f>VLOOKUP(D257,CategoryMap,2,0)</f>
        <v/>
      </c>
      <c r="G257">
        <f>ABS(E257-F257)</f>
        <v/>
      </c>
      <c r="H257">
        <f>IF(G257=0,"Yes","No")</f>
        <v/>
      </c>
      <c r="I257" t="inlineStr">
        <is>
          <t>Partial</t>
        </is>
      </c>
      <c r="J257">
        <f>IF(I257="","",IF(AND(I257=C257,I257=D257),"Both",IF(I257=C257,"Opus",IF(I257=D257,"Sonnet","Neither"))))</f>
        <v/>
      </c>
    </row>
    <row r="258">
      <c r="A258" t="inlineStr">
        <is>
          <t>R093</t>
        </is>
      </c>
      <c r="B258" t="inlineStr">
        <is>
          <t>Q1</t>
        </is>
      </c>
      <c r="C258" t="inlineStr">
        <is>
          <t>Yes</t>
        </is>
      </c>
      <c r="D258" t="inlineStr">
        <is>
          <t>Yes</t>
        </is>
      </c>
      <c r="E258">
        <f>VLOOKUP(C258,CategoryMap,2,0)</f>
        <v/>
      </c>
      <c r="F258">
        <f>VLOOKUP(D258,CategoryMap,2,0)</f>
        <v/>
      </c>
      <c r="G258">
        <f>ABS(E258-F258)</f>
        <v/>
      </c>
      <c r="H258">
        <f>IF(G258=0,"Yes","No")</f>
        <v/>
      </c>
      <c r="I258" t="inlineStr">
        <is>
          <t>Yes</t>
        </is>
      </c>
      <c r="J258">
        <f>IF(I258="","",IF(AND(I258=C258,I258=D258),"Both",IF(I258=C258,"Opus",IF(I258=D258,"Sonnet","Neither"))))</f>
        <v/>
      </c>
    </row>
    <row r="259">
      <c r="A259" t="inlineStr">
        <is>
          <t>R093</t>
        </is>
      </c>
      <c r="B259" t="inlineStr">
        <is>
          <t>Q2</t>
        </is>
      </c>
      <c r="C259" t="inlineStr">
        <is>
          <t>Yes</t>
        </is>
      </c>
      <c r="D259" t="inlineStr">
        <is>
          <t>Yes</t>
        </is>
      </c>
      <c r="E259">
        <f>VLOOKUP(C259,CategoryMap,2,0)</f>
        <v/>
      </c>
      <c r="F259">
        <f>VLOOKUP(D259,CategoryMap,2,0)</f>
        <v/>
      </c>
      <c r="G259">
        <f>ABS(E259-F259)</f>
        <v/>
      </c>
      <c r="H259">
        <f>IF(G259=0,"Yes","No")</f>
        <v/>
      </c>
      <c r="I259" t="inlineStr">
        <is>
          <t>Yes</t>
        </is>
      </c>
      <c r="J259">
        <f>IF(I259="","",IF(AND(I259=C259,I259=D259),"Both",IF(I259=C259,"Opus",IF(I259=D259,"Sonnet","Neither"))))</f>
        <v/>
      </c>
    </row>
    <row r="260">
      <c r="A260" t="inlineStr">
        <is>
          <t>R093</t>
        </is>
      </c>
      <c r="B260" t="inlineStr">
        <is>
          <t>Q3</t>
        </is>
      </c>
      <c r="C260" t="inlineStr">
        <is>
          <t>Yes</t>
        </is>
      </c>
      <c r="D260" t="inlineStr">
        <is>
          <t>Yes</t>
        </is>
      </c>
      <c r="E260">
        <f>VLOOKUP(C260,CategoryMap,2,0)</f>
        <v/>
      </c>
      <c r="F260">
        <f>VLOOKUP(D260,CategoryMap,2,0)</f>
        <v/>
      </c>
      <c r="G260">
        <f>ABS(E260-F260)</f>
        <v/>
      </c>
      <c r="H260">
        <f>IF(G260=0,"Yes","No")</f>
        <v/>
      </c>
      <c r="I260" t="inlineStr">
        <is>
          <t>Yes</t>
        </is>
      </c>
      <c r="J260">
        <f>IF(I260="","",IF(AND(I260=C260,I260=D260),"Both",IF(I260=C260,"Opus",IF(I260=D260,"Sonnet","Neither"))))</f>
        <v/>
      </c>
    </row>
    <row r="261">
      <c r="A261" t="inlineStr">
        <is>
          <t>R093</t>
        </is>
      </c>
      <c r="B261" t="inlineStr">
        <is>
          <t>Q4</t>
        </is>
      </c>
      <c r="C261" t="inlineStr">
        <is>
          <t>Partial</t>
        </is>
      </c>
      <c r="D261" t="inlineStr">
        <is>
          <t>Partial</t>
        </is>
      </c>
      <c r="E261">
        <f>VLOOKUP(C261,CategoryMap,2,0)</f>
        <v/>
      </c>
      <c r="F261">
        <f>VLOOKUP(D261,CategoryMap,2,0)</f>
        <v/>
      </c>
      <c r="G261">
        <f>ABS(E261-F261)</f>
        <v/>
      </c>
      <c r="H261">
        <f>IF(G261=0,"Yes","No")</f>
        <v/>
      </c>
      <c r="I261" t="inlineStr">
        <is>
          <t>Partial</t>
        </is>
      </c>
      <c r="J261">
        <f>IF(I261="","",IF(AND(I261=C261,I261=D261),"Both",IF(I261=C261,"Opus",IF(I261=D261,"Sonnet","Neither"))))</f>
        <v/>
      </c>
    </row>
    <row r="262">
      <c r="A262" t="inlineStr">
        <is>
          <t>R093</t>
        </is>
      </c>
      <c r="B262" t="inlineStr">
        <is>
          <t>Q5</t>
        </is>
      </c>
      <c r="C262" t="inlineStr">
        <is>
          <t>Yes</t>
        </is>
      </c>
      <c r="D262" t="inlineStr">
        <is>
          <t>Yes</t>
        </is>
      </c>
      <c r="E262">
        <f>VLOOKUP(C262,CategoryMap,2,0)</f>
        <v/>
      </c>
      <c r="F262">
        <f>VLOOKUP(D262,CategoryMap,2,0)</f>
        <v/>
      </c>
      <c r="G262">
        <f>ABS(E262-F262)</f>
        <v/>
      </c>
      <c r="H262">
        <f>IF(G262=0,"Yes","No")</f>
        <v/>
      </c>
      <c r="I262" t="inlineStr">
        <is>
          <t>Yes</t>
        </is>
      </c>
      <c r="J262">
        <f>IF(I262="","",IF(AND(I262=C262,I262=D262),"Both",IF(I262=C262,"Opus",IF(I262=D262,"Sonnet","Neither"))))</f>
        <v/>
      </c>
    </row>
    <row r="263">
      <c r="A263" t="inlineStr">
        <is>
          <t>R093</t>
        </is>
      </c>
      <c r="B263" t="inlineStr">
        <is>
          <t>Q6</t>
        </is>
      </c>
      <c r="C263" t="inlineStr">
        <is>
          <t>Yes</t>
        </is>
      </c>
      <c r="D263" t="inlineStr">
        <is>
          <t>Yes</t>
        </is>
      </c>
      <c r="E263">
        <f>VLOOKUP(C263,CategoryMap,2,0)</f>
        <v/>
      </c>
      <c r="F263">
        <f>VLOOKUP(D263,CategoryMap,2,0)</f>
        <v/>
      </c>
      <c r="G263">
        <f>ABS(E263-F263)</f>
        <v/>
      </c>
      <c r="H263">
        <f>IF(G263=0,"Yes","No")</f>
        <v/>
      </c>
      <c r="I263" t="inlineStr">
        <is>
          <t>Yes</t>
        </is>
      </c>
      <c r="J263">
        <f>IF(I263="","",IF(AND(I263=C263,I263=D263),"Both",IF(I263=C263,"Opus",IF(I263=D263,"Sonnet","Neither"))))</f>
        <v/>
      </c>
    </row>
    <row r="264">
      <c r="A264" t="inlineStr">
        <is>
          <t>R093</t>
        </is>
      </c>
      <c r="B264" t="inlineStr">
        <is>
          <t>Q7</t>
        </is>
      </c>
      <c r="C264" t="inlineStr">
        <is>
          <t>No</t>
        </is>
      </c>
      <c r="D264" t="inlineStr">
        <is>
          <t>Partial</t>
        </is>
      </c>
      <c r="E264">
        <f>VLOOKUP(C264,CategoryMap,2,0)</f>
        <v/>
      </c>
      <c r="F264">
        <f>VLOOKUP(D264,CategoryMap,2,0)</f>
        <v/>
      </c>
      <c r="G264">
        <f>ABS(E264-F264)</f>
        <v/>
      </c>
      <c r="H264">
        <f>IF(G264=0,"Yes","No")</f>
        <v/>
      </c>
      <c r="I264" t="inlineStr">
        <is>
          <t>No</t>
        </is>
      </c>
      <c r="J264">
        <f>IF(I264="","",IF(AND(I264=C264,I264=D264),"Both",IF(I264=C264,"Opus",IF(I264=D264,"Sonnet","Neither"))))</f>
        <v/>
      </c>
    </row>
    <row r="265">
      <c r="A265" t="inlineStr">
        <is>
          <t>R093</t>
        </is>
      </c>
      <c r="B265" t="inlineStr">
        <is>
          <t>Q8</t>
        </is>
      </c>
      <c r="C265" t="inlineStr">
        <is>
          <t>Partial</t>
        </is>
      </c>
      <c r="D265" t="inlineStr">
        <is>
          <t>No</t>
        </is>
      </c>
      <c r="E265">
        <f>VLOOKUP(C265,CategoryMap,2,0)</f>
        <v/>
      </c>
      <c r="F265">
        <f>VLOOKUP(D265,CategoryMap,2,0)</f>
        <v/>
      </c>
      <c r="G265">
        <f>ABS(E265-F265)</f>
        <v/>
      </c>
      <c r="H265">
        <f>IF(G265=0,"Yes","No")</f>
        <v/>
      </c>
      <c r="I265" t="inlineStr">
        <is>
          <t>No</t>
        </is>
      </c>
      <c r="J265">
        <f>IF(I265="","",IF(AND(I265=C265,I265=D265),"Both",IF(I265=C265,"Opus",IF(I265=D265,"Sonnet","Neither"))))</f>
        <v/>
      </c>
    </row>
    <row r="266">
      <c r="A266" t="inlineStr">
        <is>
          <t>R094</t>
        </is>
      </c>
      <c r="B266" t="inlineStr">
        <is>
          <t>Q1</t>
        </is>
      </c>
      <c r="C266" t="inlineStr">
        <is>
          <t>Yes</t>
        </is>
      </c>
      <c r="D266" t="inlineStr">
        <is>
          <t>Yes</t>
        </is>
      </c>
      <c r="E266">
        <f>VLOOKUP(C266,CategoryMap,2,0)</f>
        <v/>
      </c>
      <c r="F266">
        <f>VLOOKUP(D266,CategoryMap,2,0)</f>
        <v/>
      </c>
      <c r="G266">
        <f>ABS(E266-F266)</f>
        <v/>
      </c>
      <c r="H266">
        <f>IF(G266=0,"Yes","No")</f>
        <v/>
      </c>
      <c r="I266" t="inlineStr">
        <is>
          <t>Yes</t>
        </is>
      </c>
      <c r="J266">
        <f>IF(I266="","",IF(AND(I266=C266,I266=D266),"Both",IF(I266=C266,"Opus",IF(I266=D266,"Sonnet","Neither"))))</f>
        <v/>
      </c>
    </row>
    <row r="267">
      <c r="A267" t="inlineStr">
        <is>
          <t>R094</t>
        </is>
      </c>
      <c r="B267" t="inlineStr">
        <is>
          <t>Q2</t>
        </is>
      </c>
      <c r="C267" t="inlineStr">
        <is>
          <t>Partial</t>
        </is>
      </c>
      <c r="D267" t="inlineStr">
        <is>
          <t>Yes</t>
        </is>
      </c>
      <c r="E267">
        <f>VLOOKUP(C267,CategoryMap,2,0)</f>
        <v/>
      </c>
      <c r="F267">
        <f>VLOOKUP(D267,CategoryMap,2,0)</f>
        <v/>
      </c>
      <c r="G267">
        <f>ABS(E267-F267)</f>
        <v/>
      </c>
      <c r="H267">
        <f>IF(G267=0,"Yes","No")</f>
        <v/>
      </c>
      <c r="I267" t="inlineStr">
        <is>
          <t>Partial</t>
        </is>
      </c>
      <c r="J267">
        <f>IF(I267="","",IF(AND(I267=C267,I267=D267),"Both",IF(I267=C267,"Opus",IF(I267=D267,"Sonnet","Neither"))))</f>
        <v/>
      </c>
    </row>
    <row r="268">
      <c r="A268" t="inlineStr">
        <is>
          <t>R094</t>
        </is>
      </c>
      <c r="B268" t="inlineStr">
        <is>
          <t>Q3</t>
        </is>
      </c>
      <c r="C268" t="inlineStr">
        <is>
          <t>Yes</t>
        </is>
      </c>
      <c r="D268" t="inlineStr">
        <is>
          <t>Yes</t>
        </is>
      </c>
      <c r="E268">
        <f>VLOOKUP(C268,CategoryMap,2,0)</f>
        <v/>
      </c>
      <c r="F268">
        <f>VLOOKUP(D268,CategoryMap,2,0)</f>
        <v/>
      </c>
      <c r="G268">
        <f>ABS(E268-F268)</f>
        <v/>
      </c>
      <c r="H268">
        <f>IF(G268=0,"Yes","No")</f>
        <v/>
      </c>
      <c r="I268" t="inlineStr">
        <is>
          <t>Yes</t>
        </is>
      </c>
      <c r="J268">
        <f>IF(I268="","",IF(AND(I268=C268,I268=D268),"Both",IF(I268=C268,"Opus",IF(I268=D268,"Sonnet","Neither"))))</f>
        <v/>
      </c>
    </row>
    <row r="269">
      <c r="A269" t="inlineStr">
        <is>
          <t>R094</t>
        </is>
      </c>
      <c r="B269" t="inlineStr">
        <is>
          <t>Q4</t>
        </is>
      </c>
      <c r="C269" t="inlineStr">
        <is>
          <t>Partial</t>
        </is>
      </c>
      <c r="D269" t="inlineStr">
        <is>
          <t>Partial</t>
        </is>
      </c>
      <c r="E269">
        <f>VLOOKUP(C269,CategoryMap,2,0)</f>
        <v/>
      </c>
      <c r="F269">
        <f>VLOOKUP(D269,CategoryMap,2,0)</f>
        <v/>
      </c>
      <c r="G269">
        <f>ABS(E269-F269)</f>
        <v/>
      </c>
      <c r="H269">
        <f>IF(G269=0,"Yes","No")</f>
        <v/>
      </c>
      <c r="I269" t="inlineStr">
        <is>
          <t>Partial</t>
        </is>
      </c>
      <c r="J269">
        <f>IF(I269="","",IF(AND(I269=C269,I269=D269),"Both",IF(I269=C269,"Opus",IF(I269=D269,"Sonnet","Neither"))))</f>
        <v/>
      </c>
    </row>
    <row r="270">
      <c r="A270" t="inlineStr">
        <is>
          <t>R094</t>
        </is>
      </c>
      <c r="B270" t="inlineStr">
        <is>
          <t>Q5</t>
        </is>
      </c>
      <c r="C270" t="inlineStr">
        <is>
          <t>Yes</t>
        </is>
      </c>
      <c r="D270" t="inlineStr">
        <is>
          <t>Yes</t>
        </is>
      </c>
      <c r="E270">
        <f>VLOOKUP(C270,CategoryMap,2,0)</f>
        <v/>
      </c>
      <c r="F270">
        <f>VLOOKUP(D270,CategoryMap,2,0)</f>
        <v/>
      </c>
      <c r="G270">
        <f>ABS(E270-F270)</f>
        <v/>
      </c>
      <c r="H270">
        <f>IF(G270=0,"Yes","No")</f>
        <v/>
      </c>
      <c r="I270" t="inlineStr">
        <is>
          <t>Yes</t>
        </is>
      </c>
      <c r="J270">
        <f>IF(I270="","",IF(AND(I270=C270,I270=D270),"Both",IF(I270=C270,"Opus",IF(I270=D270,"Sonnet","Neither"))))</f>
        <v/>
      </c>
    </row>
    <row r="271">
      <c r="A271" t="inlineStr">
        <is>
          <t>R094</t>
        </is>
      </c>
      <c r="B271" t="inlineStr">
        <is>
          <t>Q6</t>
        </is>
      </c>
      <c r="C271" t="inlineStr">
        <is>
          <t>Yes</t>
        </is>
      </c>
      <c r="D271" t="inlineStr">
        <is>
          <t>Yes</t>
        </is>
      </c>
      <c r="E271">
        <f>VLOOKUP(C271,CategoryMap,2,0)</f>
        <v/>
      </c>
      <c r="F271">
        <f>VLOOKUP(D271,CategoryMap,2,0)</f>
        <v/>
      </c>
      <c r="G271">
        <f>ABS(E271-F271)</f>
        <v/>
      </c>
      <c r="H271">
        <f>IF(G271=0,"Yes","No")</f>
        <v/>
      </c>
      <c r="I271" t="inlineStr">
        <is>
          <t>Yes</t>
        </is>
      </c>
      <c r="J271">
        <f>IF(I271="","",IF(AND(I271=C271,I271=D271),"Both",IF(I271=C271,"Opus",IF(I271=D271,"Sonnet","Neither"))))</f>
        <v/>
      </c>
    </row>
    <row r="272">
      <c r="A272" t="inlineStr">
        <is>
          <t>R094</t>
        </is>
      </c>
      <c r="B272" t="inlineStr">
        <is>
          <t>Q7</t>
        </is>
      </c>
      <c r="C272" t="inlineStr">
        <is>
          <t>Yes</t>
        </is>
      </c>
      <c r="D272" t="inlineStr">
        <is>
          <t>Yes</t>
        </is>
      </c>
      <c r="E272">
        <f>VLOOKUP(C272,CategoryMap,2,0)</f>
        <v/>
      </c>
      <c r="F272">
        <f>VLOOKUP(D272,CategoryMap,2,0)</f>
        <v/>
      </c>
      <c r="G272">
        <f>ABS(E272-F272)</f>
        <v/>
      </c>
      <c r="H272">
        <f>IF(G272=0,"Yes","No")</f>
        <v/>
      </c>
      <c r="I272" t="inlineStr">
        <is>
          <t>Yes</t>
        </is>
      </c>
      <c r="J272">
        <f>IF(I272="","",IF(AND(I272=C272,I272=D272),"Both",IF(I272=C272,"Opus",IF(I272=D272,"Sonnet","Neither"))))</f>
        <v/>
      </c>
    </row>
    <row r="273">
      <c r="A273" t="inlineStr">
        <is>
          <t>R094</t>
        </is>
      </c>
      <c r="B273" t="inlineStr">
        <is>
          <t>Q8</t>
        </is>
      </c>
      <c r="C273" t="inlineStr">
        <is>
          <t>Yes</t>
        </is>
      </c>
      <c r="D273" t="inlineStr">
        <is>
          <t>Yes</t>
        </is>
      </c>
      <c r="E273">
        <f>VLOOKUP(C273,CategoryMap,2,0)</f>
        <v/>
      </c>
      <c r="F273">
        <f>VLOOKUP(D273,CategoryMap,2,0)</f>
        <v/>
      </c>
      <c r="G273">
        <f>ABS(E273-F273)</f>
        <v/>
      </c>
      <c r="H273">
        <f>IF(G273=0,"Yes","No")</f>
        <v/>
      </c>
      <c r="I273" t="inlineStr">
        <is>
          <t>Yes</t>
        </is>
      </c>
      <c r="J273">
        <f>IF(I273="","",IF(AND(I273=C273,I273=D273),"Both",IF(I273=C273,"Opus",IF(I273=D273,"Sonnet","Neither"))))</f>
        <v/>
      </c>
    </row>
    <row r="274">
      <c r="A274" t="inlineStr">
        <is>
          <t>R097</t>
        </is>
      </c>
      <c r="B274" t="inlineStr">
        <is>
          <t>Q1</t>
        </is>
      </c>
      <c r="C274" t="inlineStr">
        <is>
          <t>No</t>
        </is>
      </c>
      <c r="D274" t="inlineStr">
        <is>
          <t>No</t>
        </is>
      </c>
      <c r="E274">
        <f>VLOOKUP(C274,CategoryMap,2,0)</f>
        <v/>
      </c>
      <c r="F274">
        <f>VLOOKUP(D274,CategoryMap,2,0)</f>
        <v/>
      </c>
      <c r="G274">
        <f>ABS(E274-F274)</f>
        <v/>
      </c>
      <c r="H274">
        <f>IF(G274=0,"Yes","No")</f>
        <v/>
      </c>
      <c r="I274" t="inlineStr">
        <is>
          <t>No</t>
        </is>
      </c>
      <c r="J274">
        <f>IF(I274="","",IF(AND(I274=C274,I274=D274),"Both",IF(I274=C274,"Opus",IF(I274=D274,"Sonnet","Neither"))))</f>
        <v/>
      </c>
    </row>
    <row r="275">
      <c r="A275" t="inlineStr">
        <is>
          <t>R097</t>
        </is>
      </c>
      <c r="B275" t="inlineStr">
        <is>
          <t>Q2</t>
        </is>
      </c>
      <c r="C275" t="inlineStr">
        <is>
          <t>No</t>
        </is>
      </c>
      <c r="D275" t="inlineStr">
        <is>
          <t>No</t>
        </is>
      </c>
      <c r="E275">
        <f>VLOOKUP(C275,CategoryMap,2,0)</f>
        <v/>
      </c>
      <c r="F275">
        <f>VLOOKUP(D275,CategoryMap,2,0)</f>
        <v/>
      </c>
      <c r="G275">
        <f>ABS(E275-F275)</f>
        <v/>
      </c>
      <c r="H275">
        <f>IF(G275=0,"Yes","No")</f>
        <v/>
      </c>
      <c r="I275" t="inlineStr">
        <is>
          <t>No</t>
        </is>
      </c>
      <c r="J275">
        <f>IF(I275="","",IF(AND(I275=C275,I275=D275),"Both",IF(I275=C275,"Opus",IF(I275=D275,"Sonnet","Neither"))))</f>
        <v/>
      </c>
    </row>
    <row r="276">
      <c r="A276" t="inlineStr">
        <is>
          <t>R097</t>
        </is>
      </c>
      <c r="B276" t="inlineStr">
        <is>
          <t>Q3</t>
        </is>
      </c>
      <c r="C276" t="inlineStr">
        <is>
          <t>Partial</t>
        </is>
      </c>
      <c r="D276" t="inlineStr">
        <is>
          <t>No</t>
        </is>
      </c>
      <c r="E276">
        <f>VLOOKUP(C276,CategoryMap,2,0)</f>
        <v/>
      </c>
      <c r="F276">
        <f>VLOOKUP(D276,CategoryMap,2,0)</f>
        <v/>
      </c>
      <c r="G276">
        <f>ABS(E276-F276)</f>
        <v/>
      </c>
      <c r="H276">
        <f>IF(G276=0,"Yes","No")</f>
        <v/>
      </c>
      <c r="I276" t="inlineStr">
        <is>
          <t>No</t>
        </is>
      </c>
      <c r="J276">
        <f>IF(I276="","",IF(AND(I276=C276,I276=D276),"Both",IF(I276=C276,"Opus",IF(I276=D276,"Sonnet","Neither"))))</f>
        <v/>
      </c>
    </row>
    <row r="277">
      <c r="A277" t="inlineStr">
        <is>
          <t>R097</t>
        </is>
      </c>
      <c r="B277" t="inlineStr">
        <is>
          <t>Q4</t>
        </is>
      </c>
      <c r="C277" t="inlineStr">
        <is>
          <t>Partial</t>
        </is>
      </c>
      <c r="D277" t="inlineStr">
        <is>
          <t>Yes</t>
        </is>
      </c>
      <c r="E277">
        <f>VLOOKUP(C277,CategoryMap,2,0)</f>
        <v/>
      </c>
      <c r="F277">
        <f>VLOOKUP(D277,CategoryMap,2,0)</f>
        <v/>
      </c>
      <c r="G277">
        <f>ABS(E277-F277)</f>
        <v/>
      </c>
      <c r="H277">
        <f>IF(G277=0,"Yes","No")</f>
        <v/>
      </c>
      <c r="I277" t="inlineStr">
        <is>
          <t>Partial</t>
        </is>
      </c>
      <c r="J277">
        <f>IF(I277="","",IF(AND(I277=C277,I277=D277),"Both",IF(I277=C277,"Opus",IF(I277=D277,"Sonnet","Neither"))))</f>
        <v/>
      </c>
    </row>
    <row r="278">
      <c r="A278" t="inlineStr">
        <is>
          <t>R097</t>
        </is>
      </c>
      <c r="B278" t="inlineStr">
        <is>
          <t>Q5</t>
        </is>
      </c>
      <c r="C278" t="inlineStr">
        <is>
          <t>Yes</t>
        </is>
      </c>
      <c r="D278" t="inlineStr">
        <is>
          <t>Yes</t>
        </is>
      </c>
      <c r="E278">
        <f>VLOOKUP(C278,CategoryMap,2,0)</f>
        <v/>
      </c>
      <c r="F278">
        <f>VLOOKUP(D278,CategoryMap,2,0)</f>
        <v/>
      </c>
      <c r="G278">
        <f>ABS(E278-F278)</f>
        <v/>
      </c>
      <c r="H278">
        <f>IF(G278=0,"Yes","No")</f>
        <v/>
      </c>
      <c r="I278" t="inlineStr">
        <is>
          <t>Yes</t>
        </is>
      </c>
      <c r="J278">
        <f>IF(I278="","",IF(AND(I278=C278,I278=D278),"Both",IF(I278=C278,"Opus",IF(I278=D278,"Sonnet","Neither"))))</f>
        <v/>
      </c>
    </row>
    <row r="279">
      <c r="A279" t="inlineStr">
        <is>
          <t>R097</t>
        </is>
      </c>
      <c r="B279" t="inlineStr">
        <is>
          <t>Q6</t>
        </is>
      </c>
      <c r="C279" t="inlineStr">
        <is>
          <t>Yes</t>
        </is>
      </c>
      <c r="D279" t="inlineStr">
        <is>
          <t>Yes</t>
        </is>
      </c>
      <c r="E279">
        <f>VLOOKUP(C279,CategoryMap,2,0)</f>
        <v/>
      </c>
      <c r="F279">
        <f>VLOOKUP(D279,CategoryMap,2,0)</f>
        <v/>
      </c>
      <c r="G279">
        <f>ABS(E279-F279)</f>
        <v/>
      </c>
      <c r="H279">
        <f>IF(G279=0,"Yes","No")</f>
        <v/>
      </c>
      <c r="I279" t="inlineStr">
        <is>
          <t>Yes</t>
        </is>
      </c>
      <c r="J279">
        <f>IF(I279="","",IF(AND(I279=C279,I279=D279),"Both",IF(I279=C279,"Opus",IF(I279=D279,"Sonnet","Neither"))))</f>
        <v/>
      </c>
    </row>
    <row r="280">
      <c r="A280" t="inlineStr">
        <is>
          <t>R097</t>
        </is>
      </c>
      <c r="B280" t="inlineStr">
        <is>
          <t>Q7</t>
        </is>
      </c>
      <c r="C280" t="inlineStr">
        <is>
          <t>Partial</t>
        </is>
      </c>
      <c r="D280" t="inlineStr">
        <is>
          <t>Partial</t>
        </is>
      </c>
      <c r="E280">
        <f>VLOOKUP(C280,CategoryMap,2,0)</f>
        <v/>
      </c>
      <c r="F280">
        <f>VLOOKUP(D280,CategoryMap,2,0)</f>
        <v/>
      </c>
      <c r="G280">
        <f>ABS(E280-F280)</f>
        <v/>
      </c>
      <c r="H280">
        <f>IF(G280=0,"Yes","No")</f>
        <v/>
      </c>
      <c r="I280" t="inlineStr">
        <is>
          <t>Partial</t>
        </is>
      </c>
      <c r="J280">
        <f>IF(I280="","",IF(AND(I280=C280,I280=D280),"Both",IF(I280=C280,"Opus",IF(I280=D280,"Sonnet","Neither"))))</f>
        <v/>
      </c>
    </row>
    <row r="281">
      <c r="A281" t="inlineStr">
        <is>
          <t>R097</t>
        </is>
      </c>
      <c r="B281" t="inlineStr">
        <is>
          <t>Q8</t>
        </is>
      </c>
      <c r="C281" t="inlineStr">
        <is>
          <t>No</t>
        </is>
      </c>
      <c r="D281" t="inlineStr">
        <is>
          <t>No</t>
        </is>
      </c>
      <c r="E281">
        <f>VLOOKUP(C281,CategoryMap,2,0)</f>
        <v/>
      </c>
      <c r="F281">
        <f>VLOOKUP(D281,CategoryMap,2,0)</f>
        <v/>
      </c>
      <c r="G281">
        <f>ABS(E281-F281)</f>
        <v/>
      </c>
      <c r="H281">
        <f>IF(G281=0,"Yes","No")</f>
        <v/>
      </c>
      <c r="I281" t="inlineStr">
        <is>
          <t>No</t>
        </is>
      </c>
      <c r="J281">
        <f>IF(I281="","",IF(AND(I281=C281,I281=D281),"Both",IF(I281=C281,"Opus",IF(I281=D281,"Sonnet","Neither"))))</f>
        <v/>
      </c>
    </row>
    <row r="282">
      <c r="A282" t="inlineStr">
        <is>
          <t>R100</t>
        </is>
      </c>
      <c r="B282" t="inlineStr">
        <is>
          <t>Q1</t>
        </is>
      </c>
      <c r="C282" t="inlineStr">
        <is>
          <t>Yes</t>
        </is>
      </c>
      <c r="D282" t="inlineStr">
        <is>
          <t>Yes</t>
        </is>
      </c>
      <c r="E282">
        <f>VLOOKUP(C282,CategoryMap,2,0)</f>
        <v/>
      </c>
      <c r="F282">
        <f>VLOOKUP(D282,CategoryMap,2,0)</f>
        <v/>
      </c>
      <c r="G282">
        <f>ABS(E282-F282)</f>
        <v/>
      </c>
      <c r="H282">
        <f>IF(G282=0,"Yes","No")</f>
        <v/>
      </c>
      <c r="I282" t="inlineStr">
        <is>
          <t>Yes</t>
        </is>
      </c>
      <c r="J282">
        <f>IF(I282="","",IF(AND(I282=C282,I282=D282),"Both",IF(I282=C282,"Opus",IF(I282=D282,"Sonnet","Neither"))))</f>
        <v/>
      </c>
    </row>
    <row r="283">
      <c r="A283" t="inlineStr">
        <is>
          <t>R100</t>
        </is>
      </c>
      <c r="B283" t="inlineStr">
        <is>
          <t>Q2</t>
        </is>
      </c>
      <c r="C283" t="inlineStr">
        <is>
          <t>Partial</t>
        </is>
      </c>
      <c r="D283" t="inlineStr">
        <is>
          <t>Partial</t>
        </is>
      </c>
      <c r="E283">
        <f>VLOOKUP(C283,CategoryMap,2,0)</f>
        <v/>
      </c>
      <c r="F283">
        <f>VLOOKUP(D283,CategoryMap,2,0)</f>
        <v/>
      </c>
      <c r="G283">
        <f>ABS(E283-F283)</f>
        <v/>
      </c>
      <c r="H283">
        <f>IF(G283=0,"Yes","No")</f>
        <v/>
      </c>
      <c r="I283" t="inlineStr">
        <is>
          <t>Partial</t>
        </is>
      </c>
      <c r="J283">
        <f>IF(I283="","",IF(AND(I283=C283,I283=D283),"Both",IF(I283=C283,"Opus",IF(I283=D283,"Sonnet","Neither"))))</f>
        <v/>
      </c>
    </row>
    <row r="284">
      <c r="A284" t="inlineStr">
        <is>
          <t>R100</t>
        </is>
      </c>
      <c r="B284" t="inlineStr">
        <is>
          <t>Q3</t>
        </is>
      </c>
      <c r="C284" t="inlineStr">
        <is>
          <t>Yes</t>
        </is>
      </c>
      <c r="D284" t="inlineStr">
        <is>
          <t>Yes</t>
        </is>
      </c>
      <c r="E284">
        <f>VLOOKUP(C284,CategoryMap,2,0)</f>
        <v/>
      </c>
      <c r="F284">
        <f>VLOOKUP(D284,CategoryMap,2,0)</f>
        <v/>
      </c>
      <c r="G284">
        <f>ABS(E284-F284)</f>
        <v/>
      </c>
      <c r="H284">
        <f>IF(G284=0,"Yes","No")</f>
        <v/>
      </c>
      <c r="I284" t="inlineStr">
        <is>
          <t>Yes</t>
        </is>
      </c>
      <c r="J284">
        <f>IF(I284="","",IF(AND(I284=C284,I284=D284),"Both",IF(I284=C284,"Opus",IF(I284=D284,"Sonnet","Neither"))))</f>
        <v/>
      </c>
    </row>
    <row r="285">
      <c r="A285" t="inlineStr">
        <is>
          <t>R100</t>
        </is>
      </c>
      <c r="B285" t="inlineStr">
        <is>
          <t>Q4</t>
        </is>
      </c>
      <c r="C285" t="inlineStr">
        <is>
          <t>Partial</t>
        </is>
      </c>
      <c r="D285" t="inlineStr">
        <is>
          <t>Yes</t>
        </is>
      </c>
      <c r="E285">
        <f>VLOOKUP(C285,CategoryMap,2,0)</f>
        <v/>
      </c>
      <c r="F285">
        <f>VLOOKUP(D285,CategoryMap,2,0)</f>
        <v/>
      </c>
      <c r="G285">
        <f>ABS(E285-F285)</f>
        <v/>
      </c>
      <c r="H285">
        <f>IF(G285=0,"Yes","No")</f>
        <v/>
      </c>
      <c r="I285" t="inlineStr">
        <is>
          <t>Partial</t>
        </is>
      </c>
      <c r="J285">
        <f>IF(I285="","",IF(AND(I285=C285,I285=D285),"Both",IF(I285=C285,"Opus",IF(I285=D285,"Sonnet","Neither"))))</f>
        <v/>
      </c>
    </row>
    <row r="286">
      <c r="A286" t="inlineStr">
        <is>
          <t>R100</t>
        </is>
      </c>
      <c r="B286" t="inlineStr">
        <is>
          <t>Q5</t>
        </is>
      </c>
      <c r="C286" t="inlineStr">
        <is>
          <t>Yes</t>
        </is>
      </c>
      <c r="D286" t="inlineStr">
        <is>
          <t>Yes</t>
        </is>
      </c>
      <c r="E286">
        <f>VLOOKUP(C286,CategoryMap,2,0)</f>
        <v/>
      </c>
      <c r="F286">
        <f>VLOOKUP(D286,CategoryMap,2,0)</f>
        <v/>
      </c>
      <c r="G286">
        <f>ABS(E286-F286)</f>
        <v/>
      </c>
      <c r="H286">
        <f>IF(G286=0,"Yes","No")</f>
        <v/>
      </c>
      <c r="I286" t="inlineStr">
        <is>
          <t>Yes</t>
        </is>
      </c>
      <c r="J286">
        <f>IF(I286="","",IF(AND(I286=C286,I286=D286),"Both",IF(I286=C286,"Opus",IF(I286=D286,"Sonnet","Neither"))))</f>
        <v/>
      </c>
    </row>
    <row r="287">
      <c r="A287" t="inlineStr">
        <is>
          <t>R100</t>
        </is>
      </c>
      <c r="B287" t="inlineStr">
        <is>
          <t>Q6</t>
        </is>
      </c>
      <c r="C287" t="inlineStr">
        <is>
          <t>Yes</t>
        </is>
      </c>
      <c r="D287" t="inlineStr">
        <is>
          <t>Yes</t>
        </is>
      </c>
      <c r="E287">
        <f>VLOOKUP(C287,CategoryMap,2,0)</f>
        <v/>
      </c>
      <c r="F287">
        <f>VLOOKUP(D287,CategoryMap,2,0)</f>
        <v/>
      </c>
      <c r="G287">
        <f>ABS(E287-F287)</f>
        <v/>
      </c>
      <c r="H287">
        <f>IF(G287=0,"Yes","No")</f>
        <v/>
      </c>
      <c r="I287" t="inlineStr">
        <is>
          <t>Yes</t>
        </is>
      </c>
      <c r="J287">
        <f>IF(I287="","",IF(AND(I287=C287,I287=D287),"Both",IF(I287=C287,"Opus",IF(I287=D287,"Sonnet","Neither"))))</f>
        <v/>
      </c>
    </row>
    <row r="288">
      <c r="A288" t="inlineStr">
        <is>
          <t>R100</t>
        </is>
      </c>
      <c r="B288" t="inlineStr">
        <is>
          <t>Q7</t>
        </is>
      </c>
      <c r="C288" t="inlineStr">
        <is>
          <t>No</t>
        </is>
      </c>
      <c r="D288" t="inlineStr">
        <is>
          <t>No</t>
        </is>
      </c>
      <c r="E288">
        <f>VLOOKUP(C288,CategoryMap,2,0)</f>
        <v/>
      </c>
      <c r="F288">
        <f>VLOOKUP(D288,CategoryMap,2,0)</f>
        <v/>
      </c>
      <c r="G288">
        <f>ABS(E288-F288)</f>
        <v/>
      </c>
      <c r="H288">
        <f>IF(G288=0,"Yes","No")</f>
        <v/>
      </c>
      <c r="I288" t="inlineStr">
        <is>
          <t>No</t>
        </is>
      </c>
      <c r="J288">
        <f>IF(I288="","",IF(AND(I288=C288,I288=D288),"Both",IF(I288=C288,"Opus",IF(I288=D288,"Sonnet","Neither"))))</f>
        <v/>
      </c>
    </row>
    <row r="289">
      <c r="A289" t="inlineStr">
        <is>
          <t>R100</t>
        </is>
      </c>
      <c r="B289" t="inlineStr">
        <is>
          <t>Q8</t>
        </is>
      </c>
      <c r="C289" t="inlineStr">
        <is>
          <t>Partial</t>
        </is>
      </c>
      <c r="D289" t="inlineStr">
        <is>
          <t>Partial</t>
        </is>
      </c>
      <c r="E289">
        <f>VLOOKUP(C289,CategoryMap,2,0)</f>
        <v/>
      </c>
      <c r="F289">
        <f>VLOOKUP(D289,CategoryMap,2,0)</f>
        <v/>
      </c>
      <c r="G289">
        <f>ABS(E289-F289)</f>
        <v/>
      </c>
      <c r="H289">
        <f>IF(G289=0,"Yes","No")</f>
        <v/>
      </c>
      <c r="I289" t="inlineStr">
        <is>
          <t>Partial</t>
        </is>
      </c>
      <c r="J289">
        <f>IF(I289="","",IF(AND(I289=C289,I289=D289),"Both",IF(I289=C289,"Opus",IF(I289=D289,"Sonnet","Neither"))))</f>
        <v/>
      </c>
    </row>
    <row r="290">
      <c r="A290" t="inlineStr">
        <is>
          <t>R101</t>
        </is>
      </c>
      <c r="B290" t="inlineStr">
        <is>
          <t>Q1</t>
        </is>
      </c>
      <c r="C290" t="inlineStr">
        <is>
          <t>Partial</t>
        </is>
      </c>
      <c r="D290" t="inlineStr">
        <is>
          <t>No</t>
        </is>
      </c>
      <c r="E290">
        <f>VLOOKUP(C290,CategoryMap,2,0)</f>
        <v/>
      </c>
      <c r="F290">
        <f>VLOOKUP(D290,CategoryMap,2,0)</f>
        <v/>
      </c>
      <c r="G290">
        <f>ABS(E290-F290)</f>
        <v/>
      </c>
      <c r="H290">
        <f>IF(G290=0,"Yes","No")</f>
        <v/>
      </c>
      <c r="I290" t="inlineStr">
        <is>
          <t>No</t>
        </is>
      </c>
      <c r="J290">
        <f>IF(I290="","",IF(AND(I290=C290,I290=D290),"Both",IF(I290=C290,"Opus",IF(I290=D290,"Sonnet","Neither"))))</f>
        <v/>
      </c>
    </row>
    <row r="291">
      <c r="A291" t="inlineStr">
        <is>
          <t>R101</t>
        </is>
      </c>
      <c r="B291" t="inlineStr">
        <is>
          <t>Q2</t>
        </is>
      </c>
      <c r="C291" t="inlineStr">
        <is>
          <t>Partial</t>
        </is>
      </c>
      <c r="D291" t="inlineStr">
        <is>
          <t>No</t>
        </is>
      </c>
      <c r="E291">
        <f>VLOOKUP(C291,CategoryMap,2,0)</f>
        <v/>
      </c>
      <c r="F291">
        <f>VLOOKUP(D291,CategoryMap,2,0)</f>
        <v/>
      </c>
      <c r="G291">
        <f>ABS(E291-F291)</f>
        <v/>
      </c>
      <c r="H291">
        <f>IF(G291=0,"Yes","No")</f>
        <v/>
      </c>
      <c r="I291" t="inlineStr">
        <is>
          <t>No</t>
        </is>
      </c>
      <c r="J291">
        <f>IF(I291="","",IF(AND(I291=C291,I291=D291),"Both",IF(I291=C291,"Opus",IF(I291=D291,"Sonnet","Neither"))))</f>
        <v/>
      </c>
    </row>
    <row r="292">
      <c r="A292" t="inlineStr">
        <is>
          <t>R101</t>
        </is>
      </c>
      <c r="B292" t="inlineStr">
        <is>
          <t>Q3</t>
        </is>
      </c>
      <c r="C292" t="inlineStr">
        <is>
          <t>Partial</t>
        </is>
      </c>
      <c r="D292" t="inlineStr">
        <is>
          <t>No</t>
        </is>
      </c>
      <c r="E292">
        <f>VLOOKUP(C292,CategoryMap,2,0)</f>
        <v/>
      </c>
      <c r="F292">
        <f>VLOOKUP(D292,CategoryMap,2,0)</f>
        <v/>
      </c>
      <c r="G292">
        <f>ABS(E292-F292)</f>
        <v/>
      </c>
      <c r="H292">
        <f>IF(G292=0,"Yes","No")</f>
        <v/>
      </c>
      <c r="I292" t="inlineStr">
        <is>
          <t>No</t>
        </is>
      </c>
      <c r="J292">
        <f>IF(I292="","",IF(AND(I292=C292,I292=D292),"Both",IF(I292=C292,"Opus",IF(I292=D292,"Sonnet","Neither"))))</f>
        <v/>
      </c>
    </row>
    <row r="293">
      <c r="A293" t="inlineStr">
        <is>
          <t>R101</t>
        </is>
      </c>
      <c r="B293" t="inlineStr">
        <is>
          <t>Q4</t>
        </is>
      </c>
      <c r="C293" t="inlineStr">
        <is>
          <t>Partial</t>
        </is>
      </c>
      <c r="D293" t="inlineStr">
        <is>
          <t>Yes</t>
        </is>
      </c>
      <c r="E293">
        <f>VLOOKUP(C293,CategoryMap,2,0)</f>
        <v/>
      </c>
      <c r="F293">
        <f>VLOOKUP(D293,CategoryMap,2,0)</f>
        <v/>
      </c>
      <c r="G293">
        <f>ABS(E293-F293)</f>
        <v/>
      </c>
      <c r="H293">
        <f>IF(G293=0,"Yes","No")</f>
        <v/>
      </c>
      <c r="I293" t="inlineStr">
        <is>
          <t>Partial</t>
        </is>
      </c>
      <c r="J293">
        <f>IF(I293="","",IF(AND(I293=C293,I293=D293),"Both",IF(I293=C293,"Opus",IF(I293=D293,"Sonnet","Neither"))))</f>
        <v/>
      </c>
    </row>
    <row r="294">
      <c r="A294" t="inlineStr">
        <is>
          <t>R101</t>
        </is>
      </c>
      <c r="B294" t="inlineStr">
        <is>
          <t>Q5</t>
        </is>
      </c>
      <c r="C294" t="inlineStr">
        <is>
          <t>Yes</t>
        </is>
      </c>
      <c r="D294" t="inlineStr">
        <is>
          <t>Yes</t>
        </is>
      </c>
      <c r="E294">
        <f>VLOOKUP(C294,CategoryMap,2,0)</f>
        <v/>
      </c>
      <c r="F294">
        <f>VLOOKUP(D294,CategoryMap,2,0)</f>
        <v/>
      </c>
      <c r="G294">
        <f>ABS(E294-F294)</f>
        <v/>
      </c>
      <c r="H294">
        <f>IF(G294=0,"Yes","No")</f>
        <v/>
      </c>
      <c r="I294" t="inlineStr">
        <is>
          <t>Yes</t>
        </is>
      </c>
      <c r="J294">
        <f>IF(I294="","",IF(AND(I294=C294,I294=D294),"Both",IF(I294=C294,"Opus",IF(I294=D294,"Sonnet","Neither"))))</f>
        <v/>
      </c>
    </row>
    <row r="295">
      <c r="A295" t="inlineStr">
        <is>
          <t>R101</t>
        </is>
      </c>
      <c r="B295" t="inlineStr">
        <is>
          <t>Q6</t>
        </is>
      </c>
      <c r="C295" t="inlineStr">
        <is>
          <t>Yes</t>
        </is>
      </c>
      <c r="D295" t="inlineStr">
        <is>
          <t>Yes</t>
        </is>
      </c>
      <c r="E295">
        <f>VLOOKUP(C295,CategoryMap,2,0)</f>
        <v/>
      </c>
      <c r="F295">
        <f>VLOOKUP(D295,CategoryMap,2,0)</f>
        <v/>
      </c>
      <c r="G295">
        <f>ABS(E295-F295)</f>
        <v/>
      </c>
      <c r="H295">
        <f>IF(G295=0,"Yes","No")</f>
        <v/>
      </c>
      <c r="I295" t="inlineStr">
        <is>
          <t>Yes</t>
        </is>
      </c>
      <c r="J295">
        <f>IF(I295="","",IF(AND(I295=C295,I295=D295),"Both",IF(I295=C295,"Opus",IF(I295=D295,"Sonnet","Neither"))))</f>
        <v/>
      </c>
    </row>
    <row r="296">
      <c r="A296" t="inlineStr">
        <is>
          <t>R101</t>
        </is>
      </c>
      <c r="B296" t="inlineStr">
        <is>
          <t>Q7</t>
        </is>
      </c>
      <c r="C296" t="inlineStr">
        <is>
          <t>No</t>
        </is>
      </c>
      <c r="D296" t="inlineStr">
        <is>
          <t>No</t>
        </is>
      </c>
      <c r="E296">
        <f>VLOOKUP(C296,CategoryMap,2,0)</f>
        <v/>
      </c>
      <c r="F296">
        <f>VLOOKUP(D296,CategoryMap,2,0)</f>
        <v/>
      </c>
      <c r="G296">
        <f>ABS(E296-F296)</f>
        <v/>
      </c>
      <c r="H296">
        <f>IF(G296=0,"Yes","No")</f>
        <v/>
      </c>
      <c r="I296" t="inlineStr">
        <is>
          <t>No</t>
        </is>
      </c>
      <c r="J296">
        <f>IF(I296="","",IF(AND(I296=C296,I296=D296),"Both",IF(I296=C296,"Opus",IF(I296=D296,"Sonnet","Neither"))))</f>
        <v/>
      </c>
    </row>
    <row r="297">
      <c r="A297" t="inlineStr">
        <is>
          <t>R101</t>
        </is>
      </c>
      <c r="B297" t="inlineStr">
        <is>
          <t>Q8</t>
        </is>
      </c>
      <c r="C297" t="inlineStr">
        <is>
          <t>Partial</t>
        </is>
      </c>
      <c r="D297" t="inlineStr">
        <is>
          <t>No</t>
        </is>
      </c>
      <c r="E297">
        <f>VLOOKUP(C297,CategoryMap,2,0)</f>
        <v/>
      </c>
      <c r="F297">
        <f>VLOOKUP(D297,CategoryMap,2,0)</f>
        <v/>
      </c>
      <c r="G297">
        <f>ABS(E297-F297)</f>
        <v/>
      </c>
      <c r="H297">
        <f>IF(G297=0,"Yes","No")</f>
        <v/>
      </c>
      <c r="I297" t="inlineStr">
        <is>
          <t>Partial</t>
        </is>
      </c>
      <c r="J297">
        <f>IF(I297="","",IF(AND(I297=C297,I297=D297),"Both",IF(I297=C297,"Opus",IF(I297=D297,"Sonnet","Neither"))))</f>
        <v/>
      </c>
    </row>
    <row r="298">
      <c r="A298" t="inlineStr">
        <is>
          <t>R109</t>
        </is>
      </c>
      <c r="B298" t="inlineStr">
        <is>
          <t>Q1</t>
        </is>
      </c>
      <c r="C298" t="inlineStr">
        <is>
          <t>No</t>
        </is>
      </c>
      <c r="D298" t="inlineStr">
        <is>
          <t>No</t>
        </is>
      </c>
      <c r="E298">
        <f>VLOOKUP(C298,CategoryMap,2,0)</f>
        <v/>
      </c>
      <c r="F298">
        <f>VLOOKUP(D298,CategoryMap,2,0)</f>
        <v/>
      </c>
      <c r="G298">
        <f>ABS(E298-F298)</f>
        <v/>
      </c>
      <c r="H298">
        <f>IF(G298=0,"Yes","No")</f>
        <v/>
      </c>
      <c r="I298" t="inlineStr">
        <is>
          <t>No</t>
        </is>
      </c>
      <c r="J298">
        <f>IF(I298="","",IF(AND(I298=C298,I298=D298),"Both",IF(I298=C298,"Opus",IF(I298=D298,"Sonnet","Neither"))))</f>
        <v/>
      </c>
    </row>
    <row r="299">
      <c r="A299" t="inlineStr">
        <is>
          <t>R109</t>
        </is>
      </c>
      <c r="B299" t="inlineStr">
        <is>
          <t>Q2</t>
        </is>
      </c>
      <c r="C299" t="inlineStr">
        <is>
          <t>Partial</t>
        </is>
      </c>
      <c r="D299" t="inlineStr">
        <is>
          <t>No</t>
        </is>
      </c>
      <c r="E299">
        <f>VLOOKUP(C299,CategoryMap,2,0)</f>
        <v/>
      </c>
      <c r="F299">
        <f>VLOOKUP(D299,CategoryMap,2,0)</f>
        <v/>
      </c>
      <c r="G299">
        <f>ABS(E299-F299)</f>
        <v/>
      </c>
      <c r="H299">
        <f>IF(G299=0,"Yes","No")</f>
        <v/>
      </c>
      <c r="I299" t="inlineStr">
        <is>
          <t>No</t>
        </is>
      </c>
      <c r="J299">
        <f>IF(I299="","",IF(AND(I299=C299,I299=D299),"Both",IF(I299=C299,"Opus",IF(I299=D299,"Sonnet","Neither"))))</f>
        <v/>
      </c>
    </row>
    <row r="300">
      <c r="A300" t="inlineStr">
        <is>
          <t>R109</t>
        </is>
      </c>
      <c r="B300" t="inlineStr">
        <is>
          <t>Q3</t>
        </is>
      </c>
      <c r="C300" t="inlineStr">
        <is>
          <t>Partial</t>
        </is>
      </c>
      <c r="D300" t="inlineStr">
        <is>
          <t>No</t>
        </is>
      </c>
      <c r="E300">
        <f>VLOOKUP(C300,CategoryMap,2,0)</f>
        <v/>
      </c>
      <c r="F300">
        <f>VLOOKUP(D300,CategoryMap,2,0)</f>
        <v/>
      </c>
      <c r="G300">
        <f>ABS(E300-F300)</f>
        <v/>
      </c>
      <c r="H300">
        <f>IF(G300=0,"Yes","No")</f>
        <v/>
      </c>
      <c r="I300" t="inlineStr">
        <is>
          <t>No</t>
        </is>
      </c>
      <c r="J300">
        <f>IF(I300="","",IF(AND(I300=C300,I300=D300),"Both",IF(I300=C300,"Opus",IF(I300=D300,"Sonnet","Neither"))))</f>
        <v/>
      </c>
    </row>
    <row r="301">
      <c r="A301" t="inlineStr">
        <is>
          <t>R109</t>
        </is>
      </c>
      <c r="B301" t="inlineStr">
        <is>
          <t>Q4</t>
        </is>
      </c>
      <c r="C301" t="inlineStr">
        <is>
          <t>Partial</t>
        </is>
      </c>
      <c r="D301" t="inlineStr">
        <is>
          <t>Yes</t>
        </is>
      </c>
      <c r="E301">
        <f>VLOOKUP(C301,CategoryMap,2,0)</f>
        <v/>
      </c>
      <c r="F301">
        <f>VLOOKUP(D301,CategoryMap,2,0)</f>
        <v/>
      </c>
      <c r="G301">
        <f>ABS(E301-F301)</f>
        <v/>
      </c>
      <c r="H301">
        <f>IF(G301=0,"Yes","No")</f>
        <v/>
      </c>
      <c r="I301" t="inlineStr">
        <is>
          <t>Yes</t>
        </is>
      </c>
      <c r="J301">
        <f>IF(I301="","",IF(AND(I301=C301,I301=D301),"Both",IF(I301=C301,"Opus",IF(I301=D301,"Sonnet","Neither"))))</f>
        <v/>
      </c>
    </row>
    <row r="302">
      <c r="A302" t="inlineStr">
        <is>
          <t>R109</t>
        </is>
      </c>
      <c r="B302" t="inlineStr">
        <is>
          <t>Q5</t>
        </is>
      </c>
      <c r="C302" t="inlineStr">
        <is>
          <t>Partial</t>
        </is>
      </c>
      <c r="D302" t="inlineStr">
        <is>
          <t>Yes</t>
        </is>
      </c>
      <c r="E302">
        <f>VLOOKUP(C302,CategoryMap,2,0)</f>
        <v/>
      </c>
      <c r="F302">
        <f>VLOOKUP(D302,CategoryMap,2,0)</f>
        <v/>
      </c>
      <c r="G302">
        <f>ABS(E302-F302)</f>
        <v/>
      </c>
      <c r="H302">
        <f>IF(G302=0,"Yes","No")</f>
        <v/>
      </c>
      <c r="I302" t="inlineStr">
        <is>
          <t>Partial</t>
        </is>
      </c>
      <c r="J302">
        <f>IF(I302="","",IF(AND(I302=C302,I302=D302),"Both",IF(I302=C302,"Opus",IF(I302=D302,"Sonnet","Neither"))))</f>
        <v/>
      </c>
    </row>
    <row r="303">
      <c r="A303" t="inlineStr">
        <is>
          <t>R109</t>
        </is>
      </c>
      <c r="B303" t="inlineStr">
        <is>
          <t>Q6</t>
        </is>
      </c>
      <c r="C303" t="inlineStr">
        <is>
          <t>Partial</t>
        </is>
      </c>
      <c r="D303" t="inlineStr">
        <is>
          <t>Yes</t>
        </is>
      </c>
      <c r="E303">
        <f>VLOOKUP(C303,CategoryMap,2,0)</f>
        <v/>
      </c>
      <c r="F303">
        <f>VLOOKUP(D303,CategoryMap,2,0)</f>
        <v/>
      </c>
      <c r="G303">
        <f>ABS(E303-F303)</f>
        <v/>
      </c>
      <c r="H303">
        <f>IF(G303=0,"Yes","No")</f>
        <v/>
      </c>
      <c r="I303" t="inlineStr">
        <is>
          <t>Partial</t>
        </is>
      </c>
      <c r="J303">
        <f>IF(I303="","",IF(AND(I303=C303,I303=D303),"Both",IF(I303=C303,"Opus",IF(I303=D303,"Sonnet","Neither"))))</f>
        <v/>
      </c>
    </row>
    <row r="304">
      <c r="A304" t="inlineStr">
        <is>
          <t>R109</t>
        </is>
      </c>
      <c r="B304" t="inlineStr">
        <is>
          <t>Q7</t>
        </is>
      </c>
      <c r="C304" t="inlineStr">
        <is>
          <t>Partial</t>
        </is>
      </c>
      <c r="D304" t="inlineStr">
        <is>
          <t>Yes</t>
        </is>
      </c>
      <c r="E304">
        <f>VLOOKUP(C304,CategoryMap,2,0)</f>
        <v/>
      </c>
      <c r="F304">
        <f>VLOOKUP(D304,CategoryMap,2,0)</f>
        <v/>
      </c>
      <c r="G304">
        <f>ABS(E304-F304)</f>
        <v/>
      </c>
      <c r="H304">
        <f>IF(G304=0,"Yes","No")</f>
        <v/>
      </c>
      <c r="I304" t="inlineStr">
        <is>
          <t>Partial</t>
        </is>
      </c>
      <c r="J304">
        <f>IF(I304="","",IF(AND(I304=C304,I304=D304),"Both",IF(I304=C304,"Opus",IF(I304=D304,"Sonnet","Neither"))))</f>
        <v/>
      </c>
    </row>
    <row r="305">
      <c r="A305" t="inlineStr">
        <is>
          <t>R109</t>
        </is>
      </c>
      <c r="B305" t="inlineStr">
        <is>
          <t>Q8</t>
        </is>
      </c>
      <c r="C305" t="inlineStr">
        <is>
          <t>No</t>
        </is>
      </c>
      <c r="D305" t="inlineStr">
        <is>
          <t>No</t>
        </is>
      </c>
      <c r="E305">
        <f>VLOOKUP(C305,CategoryMap,2,0)</f>
        <v/>
      </c>
      <c r="F305">
        <f>VLOOKUP(D305,CategoryMap,2,0)</f>
        <v/>
      </c>
      <c r="G305">
        <f>ABS(E305-F305)</f>
        <v/>
      </c>
      <c r="H305">
        <f>IF(G305=0,"Yes","No")</f>
        <v/>
      </c>
      <c r="I305" t="inlineStr">
        <is>
          <t>No</t>
        </is>
      </c>
      <c r="J305">
        <f>IF(I305="","",IF(AND(I305=C305,I305=D305),"Both",IF(I305=C305,"Opus",IF(I305=D305,"Sonnet","Neither"))))</f>
        <v/>
      </c>
    </row>
    <row r="306">
      <c r="A306" t="inlineStr">
        <is>
          <t>R114</t>
        </is>
      </c>
      <c r="B306" t="inlineStr">
        <is>
          <t>Q1</t>
        </is>
      </c>
      <c r="C306" t="inlineStr">
        <is>
          <t>Partial</t>
        </is>
      </c>
      <c r="D306" t="inlineStr">
        <is>
          <t>Partial</t>
        </is>
      </c>
      <c r="E306">
        <f>VLOOKUP(C306,CategoryMap,2,0)</f>
        <v/>
      </c>
      <c r="F306">
        <f>VLOOKUP(D306,CategoryMap,2,0)</f>
        <v/>
      </c>
      <c r="G306">
        <f>ABS(E306-F306)</f>
        <v/>
      </c>
      <c r="H306">
        <f>IF(G306=0,"Yes","No")</f>
        <v/>
      </c>
      <c r="I306" t="inlineStr">
        <is>
          <t>Partial</t>
        </is>
      </c>
      <c r="J306">
        <f>IF(I306="","",IF(AND(I306=C306,I306=D306),"Both",IF(I306=C306,"Opus",IF(I306=D306,"Sonnet","Neither"))))</f>
        <v/>
      </c>
    </row>
    <row r="307">
      <c r="A307" t="inlineStr">
        <is>
          <t>R114</t>
        </is>
      </c>
      <c r="B307" t="inlineStr">
        <is>
          <t>Q2</t>
        </is>
      </c>
      <c r="C307" t="inlineStr">
        <is>
          <t>Partial</t>
        </is>
      </c>
      <c r="D307" t="inlineStr">
        <is>
          <t>Partial</t>
        </is>
      </c>
      <c r="E307">
        <f>VLOOKUP(C307,CategoryMap,2,0)</f>
        <v/>
      </c>
      <c r="F307">
        <f>VLOOKUP(D307,CategoryMap,2,0)</f>
        <v/>
      </c>
      <c r="G307">
        <f>ABS(E307-F307)</f>
        <v/>
      </c>
      <c r="H307">
        <f>IF(G307=0,"Yes","No")</f>
        <v/>
      </c>
      <c r="I307" t="inlineStr">
        <is>
          <t>Partial</t>
        </is>
      </c>
      <c r="J307">
        <f>IF(I307="","",IF(AND(I307=C307,I307=D307),"Both",IF(I307=C307,"Opus",IF(I307=D307,"Sonnet","Neither"))))</f>
        <v/>
      </c>
    </row>
    <row r="308">
      <c r="A308" t="inlineStr">
        <is>
          <t>R114</t>
        </is>
      </c>
      <c r="B308" t="inlineStr">
        <is>
          <t>Q3</t>
        </is>
      </c>
      <c r="C308" t="inlineStr">
        <is>
          <t>Partial</t>
        </is>
      </c>
      <c r="D308" t="inlineStr">
        <is>
          <t>Partial</t>
        </is>
      </c>
      <c r="E308">
        <f>VLOOKUP(C308,CategoryMap,2,0)</f>
        <v/>
      </c>
      <c r="F308">
        <f>VLOOKUP(D308,CategoryMap,2,0)</f>
        <v/>
      </c>
      <c r="G308">
        <f>ABS(E308-F308)</f>
        <v/>
      </c>
      <c r="H308">
        <f>IF(G308=0,"Yes","No")</f>
        <v/>
      </c>
      <c r="I308" t="inlineStr">
        <is>
          <t>Partial</t>
        </is>
      </c>
      <c r="J308">
        <f>IF(I308="","",IF(AND(I308=C308,I308=D308),"Both",IF(I308=C308,"Opus",IF(I308=D308,"Sonnet","Neither"))))</f>
        <v/>
      </c>
    </row>
    <row r="309">
      <c r="A309" t="inlineStr">
        <is>
          <t>R114</t>
        </is>
      </c>
      <c r="B309" t="inlineStr">
        <is>
          <t>Q4</t>
        </is>
      </c>
      <c r="C309" t="inlineStr">
        <is>
          <t>Partial</t>
        </is>
      </c>
      <c r="D309" t="inlineStr">
        <is>
          <t>Partial</t>
        </is>
      </c>
      <c r="E309">
        <f>VLOOKUP(C309,CategoryMap,2,0)</f>
        <v/>
      </c>
      <c r="F309">
        <f>VLOOKUP(D309,CategoryMap,2,0)</f>
        <v/>
      </c>
      <c r="G309">
        <f>ABS(E309-F309)</f>
        <v/>
      </c>
      <c r="H309">
        <f>IF(G309=0,"Yes","No")</f>
        <v/>
      </c>
      <c r="I309" t="inlineStr">
        <is>
          <t>Partial</t>
        </is>
      </c>
      <c r="J309">
        <f>IF(I309="","",IF(AND(I309=C309,I309=D309),"Both",IF(I309=C309,"Opus",IF(I309=D309,"Sonnet","Neither"))))</f>
        <v/>
      </c>
    </row>
    <row r="310">
      <c r="A310" t="inlineStr">
        <is>
          <t>R114</t>
        </is>
      </c>
      <c r="B310" t="inlineStr">
        <is>
          <t>Q5</t>
        </is>
      </c>
      <c r="C310" t="inlineStr">
        <is>
          <t>Yes</t>
        </is>
      </c>
      <c r="D310" t="inlineStr">
        <is>
          <t>Yes</t>
        </is>
      </c>
      <c r="E310">
        <f>VLOOKUP(C310,CategoryMap,2,0)</f>
        <v/>
      </c>
      <c r="F310">
        <f>VLOOKUP(D310,CategoryMap,2,0)</f>
        <v/>
      </c>
      <c r="G310">
        <f>ABS(E310-F310)</f>
        <v/>
      </c>
      <c r="H310">
        <f>IF(G310=0,"Yes","No")</f>
        <v/>
      </c>
      <c r="I310" t="inlineStr">
        <is>
          <t>Yes</t>
        </is>
      </c>
      <c r="J310">
        <f>IF(I310="","",IF(AND(I310=C310,I310=D310),"Both",IF(I310=C310,"Opus",IF(I310=D310,"Sonnet","Neither"))))</f>
        <v/>
      </c>
    </row>
    <row r="311">
      <c r="A311" t="inlineStr">
        <is>
          <t>R114</t>
        </is>
      </c>
      <c r="B311" t="inlineStr">
        <is>
          <t>Q6</t>
        </is>
      </c>
      <c r="C311" t="inlineStr">
        <is>
          <t>Yes</t>
        </is>
      </c>
      <c r="D311" t="inlineStr">
        <is>
          <t>Yes</t>
        </is>
      </c>
      <c r="E311">
        <f>VLOOKUP(C311,CategoryMap,2,0)</f>
        <v/>
      </c>
      <c r="F311">
        <f>VLOOKUP(D311,CategoryMap,2,0)</f>
        <v/>
      </c>
      <c r="G311">
        <f>ABS(E311-F311)</f>
        <v/>
      </c>
      <c r="H311">
        <f>IF(G311=0,"Yes","No")</f>
        <v/>
      </c>
      <c r="I311" t="inlineStr">
        <is>
          <t>Yes</t>
        </is>
      </c>
      <c r="J311">
        <f>IF(I311="","",IF(AND(I311=C311,I311=D311),"Both",IF(I311=C311,"Opus",IF(I311=D311,"Sonnet","Neither"))))</f>
        <v/>
      </c>
    </row>
    <row r="312">
      <c r="A312" t="inlineStr">
        <is>
          <t>R114</t>
        </is>
      </c>
      <c r="B312" t="inlineStr">
        <is>
          <t>Q7</t>
        </is>
      </c>
      <c r="C312" t="inlineStr">
        <is>
          <t>Partial</t>
        </is>
      </c>
      <c r="D312" t="inlineStr">
        <is>
          <t>Partial</t>
        </is>
      </c>
      <c r="E312">
        <f>VLOOKUP(C312,CategoryMap,2,0)</f>
        <v/>
      </c>
      <c r="F312">
        <f>VLOOKUP(D312,CategoryMap,2,0)</f>
        <v/>
      </c>
      <c r="G312">
        <f>ABS(E312-F312)</f>
        <v/>
      </c>
      <c r="H312">
        <f>IF(G312=0,"Yes","No")</f>
        <v/>
      </c>
      <c r="I312" t="inlineStr">
        <is>
          <t>Partial</t>
        </is>
      </c>
      <c r="J312">
        <f>IF(I312="","",IF(AND(I312=C312,I312=D312),"Both",IF(I312=C312,"Opus",IF(I312=D312,"Sonnet","Neither"))))</f>
        <v/>
      </c>
    </row>
    <row r="313">
      <c r="A313" t="inlineStr">
        <is>
          <t>R114</t>
        </is>
      </c>
      <c r="B313" t="inlineStr">
        <is>
          <t>Q8</t>
        </is>
      </c>
      <c r="C313" t="inlineStr">
        <is>
          <t>Partial</t>
        </is>
      </c>
      <c r="D313" t="inlineStr">
        <is>
          <t>No</t>
        </is>
      </c>
      <c r="E313">
        <f>VLOOKUP(C313,CategoryMap,2,0)</f>
        <v/>
      </c>
      <c r="F313">
        <f>VLOOKUP(D313,CategoryMap,2,0)</f>
        <v/>
      </c>
      <c r="G313">
        <f>ABS(E313-F313)</f>
        <v/>
      </c>
      <c r="H313">
        <f>IF(G313=0,"Yes","No")</f>
        <v/>
      </c>
      <c r="I313" t="inlineStr">
        <is>
          <t>No</t>
        </is>
      </c>
      <c r="J313">
        <f>IF(I313="","",IF(AND(I313=C313,I313=D313),"Both",IF(I313=C313,"Opus",IF(I313=D313,"Sonnet","Neither"))))</f>
        <v/>
      </c>
    </row>
    <row r="314">
      <c r="A314" t="inlineStr">
        <is>
          <t>R115</t>
        </is>
      </c>
      <c r="B314" t="inlineStr">
        <is>
          <t>Q1</t>
        </is>
      </c>
      <c r="C314" t="inlineStr">
        <is>
          <t>Partial</t>
        </is>
      </c>
      <c r="D314" t="inlineStr">
        <is>
          <t>Partial</t>
        </is>
      </c>
      <c r="E314">
        <f>VLOOKUP(C314,CategoryMap,2,0)</f>
        <v/>
      </c>
      <c r="F314">
        <f>VLOOKUP(D314,CategoryMap,2,0)</f>
        <v/>
      </c>
      <c r="G314">
        <f>ABS(E314-F314)</f>
        <v/>
      </c>
      <c r="H314">
        <f>IF(G314=0,"Yes","No")</f>
        <v/>
      </c>
      <c r="I314" t="inlineStr">
        <is>
          <t>Partial</t>
        </is>
      </c>
      <c r="J314">
        <f>IF(I314="","",IF(AND(I314=C314,I314=D314),"Both",IF(I314=C314,"Opus",IF(I314=D314,"Sonnet","Neither"))))</f>
        <v/>
      </c>
    </row>
    <row r="315">
      <c r="A315" t="inlineStr">
        <is>
          <t>R115</t>
        </is>
      </c>
      <c r="B315" t="inlineStr">
        <is>
          <t>Q2</t>
        </is>
      </c>
      <c r="C315" t="inlineStr">
        <is>
          <t>Partial</t>
        </is>
      </c>
      <c r="D315" t="inlineStr">
        <is>
          <t>Partial</t>
        </is>
      </c>
      <c r="E315">
        <f>VLOOKUP(C315,CategoryMap,2,0)</f>
        <v/>
      </c>
      <c r="F315">
        <f>VLOOKUP(D315,CategoryMap,2,0)</f>
        <v/>
      </c>
      <c r="G315">
        <f>ABS(E315-F315)</f>
        <v/>
      </c>
      <c r="H315">
        <f>IF(G315=0,"Yes","No")</f>
        <v/>
      </c>
      <c r="I315" t="inlineStr">
        <is>
          <t>Partial</t>
        </is>
      </c>
      <c r="J315">
        <f>IF(I315="","",IF(AND(I315=C315,I315=D315),"Both",IF(I315=C315,"Opus",IF(I315=D315,"Sonnet","Neither"))))</f>
        <v/>
      </c>
    </row>
    <row r="316">
      <c r="A316" t="inlineStr">
        <is>
          <t>R115</t>
        </is>
      </c>
      <c r="B316" t="inlineStr">
        <is>
          <t>Q3</t>
        </is>
      </c>
      <c r="C316" t="inlineStr">
        <is>
          <t>Yes</t>
        </is>
      </c>
      <c r="D316" t="inlineStr">
        <is>
          <t>Yes</t>
        </is>
      </c>
      <c r="E316">
        <f>VLOOKUP(C316,CategoryMap,2,0)</f>
        <v/>
      </c>
      <c r="F316">
        <f>VLOOKUP(D316,CategoryMap,2,0)</f>
        <v/>
      </c>
      <c r="G316">
        <f>ABS(E316-F316)</f>
        <v/>
      </c>
      <c r="H316">
        <f>IF(G316=0,"Yes","No")</f>
        <v/>
      </c>
      <c r="I316" t="inlineStr">
        <is>
          <t>Yes</t>
        </is>
      </c>
      <c r="J316">
        <f>IF(I316="","",IF(AND(I316=C316,I316=D316),"Both",IF(I316=C316,"Opus",IF(I316=D316,"Sonnet","Neither"))))</f>
        <v/>
      </c>
    </row>
    <row r="317">
      <c r="A317" t="inlineStr">
        <is>
          <t>R115</t>
        </is>
      </c>
      <c r="B317" t="inlineStr">
        <is>
          <t>Q4</t>
        </is>
      </c>
      <c r="C317" t="inlineStr">
        <is>
          <t>Partial</t>
        </is>
      </c>
      <c r="D317" t="inlineStr">
        <is>
          <t>Yes</t>
        </is>
      </c>
      <c r="E317">
        <f>VLOOKUP(C317,CategoryMap,2,0)</f>
        <v/>
      </c>
      <c r="F317">
        <f>VLOOKUP(D317,CategoryMap,2,0)</f>
        <v/>
      </c>
      <c r="G317">
        <f>ABS(E317-F317)</f>
        <v/>
      </c>
      <c r="H317">
        <f>IF(G317=0,"Yes","No")</f>
        <v/>
      </c>
      <c r="I317" t="inlineStr">
        <is>
          <t>Partial</t>
        </is>
      </c>
      <c r="J317">
        <f>IF(I317="","",IF(AND(I317=C317,I317=D317),"Both",IF(I317=C317,"Opus",IF(I317=D317,"Sonnet","Neither"))))</f>
        <v/>
      </c>
    </row>
    <row r="318">
      <c r="A318" t="inlineStr">
        <is>
          <t>R115</t>
        </is>
      </c>
      <c r="B318" t="inlineStr">
        <is>
          <t>Q5</t>
        </is>
      </c>
      <c r="C318" t="inlineStr">
        <is>
          <t>Yes</t>
        </is>
      </c>
      <c r="D318" t="inlineStr">
        <is>
          <t>Yes</t>
        </is>
      </c>
      <c r="E318">
        <f>VLOOKUP(C318,CategoryMap,2,0)</f>
        <v/>
      </c>
      <c r="F318">
        <f>VLOOKUP(D318,CategoryMap,2,0)</f>
        <v/>
      </c>
      <c r="G318">
        <f>ABS(E318-F318)</f>
        <v/>
      </c>
      <c r="H318">
        <f>IF(G318=0,"Yes","No")</f>
        <v/>
      </c>
      <c r="I318" t="inlineStr">
        <is>
          <t>Yes</t>
        </is>
      </c>
      <c r="J318">
        <f>IF(I318="","",IF(AND(I318=C318,I318=D318),"Both",IF(I318=C318,"Opus",IF(I318=D318,"Sonnet","Neither"))))</f>
        <v/>
      </c>
    </row>
    <row r="319">
      <c r="A319" t="inlineStr">
        <is>
          <t>R115</t>
        </is>
      </c>
      <c r="B319" t="inlineStr">
        <is>
          <t>Q6</t>
        </is>
      </c>
      <c r="C319" t="inlineStr">
        <is>
          <t>Yes</t>
        </is>
      </c>
      <c r="D319" t="inlineStr">
        <is>
          <t>Yes</t>
        </is>
      </c>
      <c r="E319">
        <f>VLOOKUP(C319,CategoryMap,2,0)</f>
        <v/>
      </c>
      <c r="F319">
        <f>VLOOKUP(D319,CategoryMap,2,0)</f>
        <v/>
      </c>
      <c r="G319">
        <f>ABS(E319-F319)</f>
        <v/>
      </c>
      <c r="H319">
        <f>IF(G319=0,"Yes","No")</f>
        <v/>
      </c>
      <c r="I319" t="inlineStr">
        <is>
          <t>Yes</t>
        </is>
      </c>
      <c r="J319">
        <f>IF(I319="","",IF(AND(I319=C319,I319=D319),"Both",IF(I319=C319,"Opus",IF(I319=D319,"Sonnet","Neither"))))</f>
        <v/>
      </c>
    </row>
    <row r="320">
      <c r="A320" t="inlineStr">
        <is>
          <t>R115</t>
        </is>
      </c>
      <c r="B320" t="inlineStr">
        <is>
          <t>Q7</t>
        </is>
      </c>
      <c r="C320" t="inlineStr">
        <is>
          <t>No</t>
        </is>
      </c>
      <c r="D320" t="inlineStr">
        <is>
          <t>Partial</t>
        </is>
      </c>
      <c r="E320">
        <f>VLOOKUP(C320,CategoryMap,2,0)</f>
        <v/>
      </c>
      <c r="F320">
        <f>VLOOKUP(D320,CategoryMap,2,0)</f>
        <v/>
      </c>
      <c r="G320">
        <f>ABS(E320-F320)</f>
        <v/>
      </c>
      <c r="H320">
        <f>IF(G320=0,"Yes","No")</f>
        <v/>
      </c>
      <c r="I320" t="inlineStr">
        <is>
          <t>No</t>
        </is>
      </c>
      <c r="J320">
        <f>IF(I320="","",IF(AND(I320=C320,I320=D320),"Both",IF(I320=C320,"Opus",IF(I320=D320,"Sonnet","Neither"))))</f>
        <v/>
      </c>
    </row>
    <row r="321">
      <c r="A321" t="inlineStr">
        <is>
          <t>R115</t>
        </is>
      </c>
      <c r="B321" t="inlineStr">
        <is>
          <t>Q8</t>
        </is>
      </c>
      <c r="C321" t="inlineStr">
        <is>
          <t>Partial</t>
        </is>
      </c>
      <c r="D321" t="inlineStr">
        <is>
          <t>Partial</t>
        </is>
      </c>
      <c r="E321">
        <f>VLOOKUP(C321,CategoryMap,2,0)</f>
        <v/>
      </c>
      <c r="F321">
        <f>VLOOKUP(D321,CategoryMap,2,0)</f>
        <v/>
      </c>
      <c r="G321">
        <f>ABS(E321-F321)</f>
        <v/>
      </c>
      <c r="H321">
        <f>IF(G321=0,"Yes","No")</f>
        <v/>
      </c>
      <c r="I321" t="inlineStr">
        <is>
          <t>Partial</t>
        </is>
      </c>
      <c r="J321">
        <f>IF(I321="","",IF(AND(I321=C321,I321=D321),"Both",IF(I321=C321,"Opus",IF(I321=D321,"Sonnet","Neither"))))</f>
        <v/>
      </c>
    </row>
    <row r="322">
      <c r="A322" t="inlineStr">
        <is>
          <t>R116</t>
        </is>
      </c>
      <c r="B322" t="inlineStr">
        <is>
          <t>Q1</t>
        </is>
      </c>
      <c r="C322" t="inlineStr">
        <is>
          <t>No</t>
        </is>
      </c>
      <c r="D322" t="inlineStr">
        <is>
          <t>No</t>
        </is>
      </c>
      <c r="E322">
        <f>VLOOKUP(C322,CategoryMap,2,0)</f>
        <v/>
      </c>
      <c r="F322">
        <f>VLOOKUP(D322,CategoryMap,2,0)</f>
        <v/>
      </c>
      <c r="G322">
        <f>ABS(E322-F322)</f>
        <v/>
      </c>
      <c r="H322">
        <f>IF(G322=0,"Yes","No")</f>
        <v/>
      </c>
      <c r="I322" t="inlineStr">
        <is>
          <t>No</t>
        </is>
      </c>
      <c r="J322">
        <f>IF(I322="","",IF(AND(I322=C322,I322=D322),"Both",IF(I322=C322,"Opus",IF(I322=D322,"Sonnet","Neither"))))</f>
        <v/>
      </c>
    </row>
    <row r="323">
      <c r="A323" t="inlineStr">
        <is>
          <t>R116</t>
        </is>
      </c>
      <c r="B323" t="inlineStr">
        <is>
          <t>Q2</t>
        </is>
      </c>
      <c r="C323" t="inlineStr">
        <is>
          <t>Partial</t>
        </is>
      </c>
      <c r="D323" t="inlineStr">
        <is>
          <t>Partial</t>
        </is>
      </c>
      <c r="E323">
        <f>VLOOKUP(C323,CategoryMap,2,0)</f>
        <v/>
      </c>
      <c r="F323">
        <f>VLOOKUP(D323,CategoryMap,2,0)</f>
        <v/>
      </c>
      <c r="G323">
        <f>ABS(E323-F323)</f>
        <v/>
      </c>
      <c r="H323">
        <f>IF(G323=0,"Yes","No")</f>
        <v/>
      </c>
      <c r="I323" t="inlineStr">
        <is>
          <t>Partial</t>
        </is>
      </c>
      <c r="J323">
        <f>IF(I323="","",IF(AND(I323=C323,I323=D323),"Both",IF(I323=C323,"Opus",IF(I323=D323,"Sonnet","Neither"))))</f>
        <v/>
      </c>
    </row>
    <row r="324">
      <c r="A324" t="inlineStr">
        <is>
          <t>R116</t>
        </is>
      </c>
      <c r="B324" t="inlineStr">
        <is>
          <t>Q3</t>
        </is>
      </c>
      <c r="C324" t="inlineStr">
        <is>
          <t>Partial</t>
        </is>
      </c>
      <c r="D324" t="inlineStr">
        <is>
          <t>No</t>
        </is>
      </c>
      <c r="E324">
        <f>VLOOKUP(C324,CategoryMap,2,0)</f>
        <v/>
      </c>
      <c r="F324">
        <f>VLOOKUP(D324,CategoryMap,2,0)</f>
        <v/>
      </c>
      <c r="G324">
        <f>ABS(E324-F324)</f>
        <v/>
      </c>
      <c r="H324">
        <f>IF(G324=0,"Yes","No")</f>
        <v/>
      </c>
      <c r="I324" t="inlineStr">
        <is>
          <t>No</t>
        </is>
      </c>
      <c r="J324">
        <f>IF(I324="","",IF(AND(I324=C324,I324=D324),"Both",IF(I324=C324,"Opus",IF(I324=D324,"Sonnet","Neither"))))</f>
        <v/>
      </c>
    </row>
    <row r="325">
      <c r="A325" t="inlineStr">
        <is>
          <t>R116</t>
        </is>
      </c>
      <c r="B325" t="inlineStr">
        <is>
          <t>Q4</t>
        </is>
      </c>
      <c r="C325" t="inlineStr">
        <is>
          <t>No</t>
        </is>
      </c>
      <c r="D325" t="inlineStr">
        <is>
          <t>Partial</t>
        </is>
      </c>
      <c r="E325">
        <f>VLOOKUP(C325,CategoryMap,2,0)</f>
        <v/>
      </c>
      <c r="F325">
        <f>VLOOKUP(D325,CategoryMap,2,0)</f>
        <v/>
      </c>
      <c r="G325">
        <f>ABS(E325-F325)</f>
        <v/>
      </c>
      <c r="H325">
        <f>IF(G325=0,"Yes","No")</f>
        <v/>
      </c>
      <c r="I325" t="inlineStr">
        <is>
          <t>No</t>
        </is>
      </c>
      <c r="J325">
        <f>IF(I325="","",IF(AND(I325=C325,I325=D325),"Both",IF(I325=C325,"Opus",IF(I325=D325,"Sonnet","Neither"))))</f>
        <v/>
      </c>
    </row>
    <row r="326">
      <c r="A326" t="inlineStr">
        <is>
          <t>R116</t>
        </is>
      </c>
      <c r="B326" t="inlineStr">
        <is>
          <t>Q5</t>
        </is>
      </c>
      <c r="C326" t="inlineStr">
        <is>
          <t>No</t>
        </is>
      </c>
      <c r="D326" t="inlineStr">
        <is>
          <t>No</t>
        </is>
      </c>
      <c r="E326">
        <f>VLOOKUP(C326,CategoryMap,2,0)</f>
        <v/>
      </c>
      <c r="F326">
        <f>VLOOKUP(D326,CategoryMap,2,0)</f>
        <v/>
      </c>
      <c r="G326">
        <f>ABS(E326-F326)</f>
        <v/>
      </c>
      <c r="H326">
        <f>IF(G326=0,"Yes","No")</f>
        <v/>
      </c>
      <c r="I326" t="inlineStr">
        <is>
          <t>No</t>
        </is>
      </c>
      <c r="J326">
        <f>IF(I326="","",IF(AND(I326=C326,I326=D326),"Both",IF(I326=C326,"Opus",IF(I326=D326,"Sonnet","Neither"))))</f>
        <v/>
      </c>
    </row>
    <row r="327">
      <c r="A327" t="inlineStr">
        <is>
          <t>R116</t>
        </is>
      </c>
      <c r="B327" t="inlineStr">
        <is>
          <t>Q6</t>
        </is>
      </c>
      <c r="C327" t="inlineStr">
        <is>
          <t>No</t>
        </is>
      </c>
      <c r="D327" t="inlineStr">
        <is>
          <t>No</t>
        </is>
      </c>
      <c r="E327">
        <f>VLOOKUP(C327,CategoryMap,2,0)</f>
        <v/>
      </c>
      <c r="F327">
        <f>VLOOKUP(D327,CategoryMap,2,0)</f>
        <v/>
      </c>
      <c r="G327">
        <f>ABS(E327-F327)</f>
        <v/>
      </c>
      <c r="H327">
        <f>IF(G327=0,"Yes","No")</f>
        <v/>
      </c>
      <c r="I327" t="inlineStr">
        <is>
          <t>No</t>
        </is>
      </c>
      <c r="J327">
        <f>IF(I327="","",IF(AND(I327=C327,I327=D327),"Both",IF(I327=C327,"Opus",IF(I327=D327,"Sonnet","Neither"))))</f>
        <v/>
      </c>
    </row>
    <row r="328">
      <c r="A328" t="inlineStr">
        <is>
          <t>R116</t>
        </is>
      </c>
      <c r="B328" t="inlineStr">
        <is>
          <t>Q7</t>
        </is>
      </c>
      <c r="C328" t="inlineStr">
        <is>
          <t>Partial</t>
        </is>
      </c>
      <c r="D328" t="inlineStr">
        <is>
          <t>Yes</t>
        </is>
      </c>
      <c r="E328">
        <f>VLOOKUP(C328,CategoryMap,2,0)</f>
        <v/>
      </c>
      <c r="F328">
        <f>VLOOKUP(D328,CategoryMap,2,0)</f>
        <v/>
      </c>
      <c r="G328">
        <f>ABS(E328-F328)</f>
        <v/>
      </c>
      <c r="H328">
        <f>IF(G328=0,"Yes","No")</f>
        <v/>
      </c>
      <c r="I328" t="inlineStr">
        <is>
          <t>Partial</t>
        </is>
      </c>
      <c r="J328">
        <f>IF(I328="","",IF(AND(I328=C328,I328=D328),"Both",IF(I328=C328,"Opus",IF(I328=D328,"Sonnet","Neither"))))</f>
        <v/>
      </c>
    </row>
    <row r="329">
      <c r="A329" t="inlineStr">
        <is>
          <t>R116</t>
        </is>
      </c>
      <c r="B329" t="inlineStr">
        <is>
          <t>Q8</t>
        </is>
      </c>
      <c r="C329" t="inlineStr">
        <is>
          <t>No</t>
        </is>
      </c>
      <c r="D329" t="inlineStr">
        <is>
          <t>No</t>
        </is>
      </c>
      <c r="E329">
        <f>VLOOKUP(C329,CategoryMap,2,0)</f>
        <v/>
      </c>
      <c r="F329">
        <f>VLOOKUP(D329,CategoryMap,2,0)</f>
        <v/>
      </c>
      <c r="G329">
        <f>ABS(E329-F329)</f>
        <v/>
      </c>
      <c r="H329">
        <f>IF(G329=0,"Yes","No")</f>
        <v/>
      </c>
      <c r="I329" t="inlineStr">
        <is>
          <t>No</t>
        </is>
      </c>
      <c r="J329">
        <f>IF(I329="","",IF(AND(I329=C329,I329=D329),"Both",IF(I329=C329,"Opus",IF(I329=D329,"Sonnet","Neither"))))</f>
        <v/>
      </c>
    </row>
    <row r="330">
      <c r="A330" t="inlineStr">
        <is>
          <t>R118</t>
        </is>
      </c>
      <c r="B330" t="inlineStr">
        <is>
          <t>Q1</t>
        </is>
      </c>
      <c r="C330" t="inlineStr">
        <is>
          <t>Partial</t>
        </is>
      </c>
      <c r="D330" t="inlineStr">
        <is>
          <t>No</t>
        </is>
      </c>
      <c r="E330">
        <f>VLOOKUP(C330,CategoryMap,2,0)</f>
        <v/>
      </c>
      <c r="F330">
        <f>VLOOKUP(D330,CategoryMap,2,0)</f>
        <v/>
      </c>
      <c r="G330">
        <f>ABS(E330-F330)</f>
        <v/>
      </c>
      <c r="H330">
        <f>IF(G330=0,"Yes","No")</f>
        <v/>
      </c>
      <c r="I330" t="inlineStr">
        <is>
          <t>No</t>
        </is>
      </c>
      <c r="J330">
        <f>IF(I330="","",IF(AND(I330=C330,I330=D330),"Both",IF(I330=C330,"Opus",IF(I330=D330,"Sonnet","Neither"))))</f>
        <v/>
      </c>
    </row>
    <row r="331">
      <c r="A331" t="inlineStr">
        <is>
          <t>R118</t>
        </is>
      </c>
      <c r="B331" t="inlineStr">
        <is>
          <t>Q2</t>
        </is>
      </c>
      <c r="C331" t="inlineStr">
        <is>
          <t>Partial</t>
        </is>
      </c>
      <c r="D331" t="inlineStr">
        <is>
          <t>Partial</t>
        </is>
      </c>
      <c r="E331">
        <f>VLOOKUP(C331,CategoryMap,2,0)</f>
        <v/>
      </c>
      <c r="F331">
        <f>VLOOKUP(D331,CategoryMap,2,0)</f>
        <v/>
      </c>
      <c r="G331">
        <f>ABS(E331-F331)</f>
        <v/>
      </c>
      <c r="H331">
        <f>IF(G331=0,"Yes","No")</f>
        <v/>
      </c>
      <c r="I331" t="inlineStr">
        <is>
          <t>Partial</t>
        </is>
      </c>
      <c r="J331">
        <f>IF(I331="","",IF(AND(I331=C331,I331=D331),"Both",IF(I331=C331,"Opus",IF(I331=D331,"Sonnet","Neither"))))</f>
        <v/>
      </c>
    </row>
    <row r="332">
      <c r="A332" t="inlineStr">
        <is>
          <t>R118</t>
        </is>
      </c>
      <c r="B332" t="inlineStr">
        <is>
          <t>Q3</t>
        </is>
      </c>
      <c r="C332" t="inlineStr">
        <is>
          <t>Yes</t>
        </is>
      </c>
      <c r="D332" t="inlineStr">
        <is>
          <t>Partial</t>
        </is>
      </c>
      <c r="E332">
        <f>VLOOKUP(C332,CategoryMap,2,0)</f>
        <v/>
      </c>
      <c r="F332">
        <f>VLOOKUP(D332,CategoryMap,2,0)</f>
        <v/>
      </c>
      <c r="G332">
        <f>ABS(E332-F332)</f>
        <v/>
      </c>
      <c r="H332">
        <f>IF(G332=0,"Yes","No")</f>
        <v/>
      </c>
      <c r="I332" t="inlineStr">
        <is>
          <t>Yes</t>
        </is>
      </c>
      <c r="J332">
        <f>IF(I332="","",IF(AND(I332=C332,I332=D332),"Both",IF(I332=C332,"Opus",IF(I332=D332,"Sonnet","Neither"))))</f>
        <v/>
      </c>
    </row>
    <row r="333">
      <c r="A333" t="inlineStr">
        <is>
          <t>R118</t>
        </is>
      </c>
      <c r="B333" t="inlineStr">
        <is>
          <t>Q4</t>
        </is>
      </c>
      <c r="C333" t="inlineStr">
        <is>
          <t>Partial</t>
        </is>
      </c>
      <c r="D333" t="inlineStr">
        <is>
          <t>Partial</t>
        </is>
      </c>
      <c r="E333">
        <f>VLOOKUP(C333,CategoryMap,2,0)</f>
        <v/>
      </c>
      <c r="F333">
        <f>VLOOKUP(D333,CategoryMap,2,0)</f>
        <v/>
      </c>
      <c r="G333">
        <f>ABS(E333-F333)</f>
        <v/>
      </c>
      <c r="H333">
        <f>IF(G333=0,"Yes","No")</f>
        <v/>
      </c>
      <c r="I333" t="inlineStr">
        <is>
          <t>Partial</t>
        </is>
      </c>
      <c r="J333">
        <f>IF(I333="","",IF(AND(I333=C333,I333=D333),"Both",IF(I333=C333,"Opus",IF(I333=D333,"Sonnet","Neither"))))</f>
        <v/>
      </c>
    </row>
    <row r="334">
      <c r="A334" t="inlineStr">
        <is>
          <t>R118</t>
        </is>
      </c>
      <c r="B334" t="inlineStr">
        <is>
          <t>Q5</t>
        </is>
      </c>
      <c r="C334" t="inlineStr">
        <is>
          <t>Partial</t>
        </is>
      </c>
      <c r="D334" t="inlineStr">
        <is>
          <t>Partial</t>
        </is>
      </c>
      <c r="E334">
        <f>VLOOKUP(C334,CategoryMap,2,0)</f>
        <v/>
      </c>
      <c r="F334">
        <f>VLOOKUP(D334,CategoryMap,2,0)</f>
        <v/>
      </c>
      <c r="G334">
        <f>ABS(E334-F334)</f>
        <v/>
      </c>
      <c r="H334">
        <f>IF(G334=0,"Yes","No")</f>
        <v/>
      </c>
      <c r="I334" t="inlineStr">
        <is>
          <t>Partial</t>
        </is>
      </c>
      <c r="J334">
        <f>IF(I334="","",IF(AND(I334=C334,I334=D334),"Both",IF(I334=C334,"Opus",IF(I334=D334,"Sonnet","Neither"))))</f>
        <v/>
      </c>
    </row>
    <row r="335">
      <c r="A335" t="inlineStr">
        <is>
          <t>R118</t>
        </is>
      </c>
      <c r="B335" t="inlineStr">
        <is>
          <t>Q6</t>
        </is>
      </c>
      <c r="C335" t="inlineStr">
        <is>
          <t>Partial</t>
        </is>
      </c>
      <c r="D335" t="inlineStr">
        <is>
          <t>Partial</t>
        </is>
      </c>
      <c r="E335">
        <f>VLOOKUP(C335,CategoryMap,2,0)</f>
        <v/>
      </c>
      <c r="F335">
        <f>VLOOKUP(D335,CategoryMap,2,0)</f>
        <v/>
      </c>
      <c r="G335">
        <f>ABS(E335-F335)</f>
        <v/>
      </c>
      <c r="H335">
        <f>IF(G335=0,"Yes","No")</f>
        <v/>
      </c>
      <c r="I335" t="inlineStr">
        <is>
          <t>Partial</t>
        </is>
      </c>
      <c r="J335">
        <f>IF(I335="","",IF(AND(I335=C335,I335=D335),"Both",IF(I335=C335,"Opus",IF(I335=D335,"Sonnet","Neither"))))</f>
        <v/>
      </c>
    </row>
    <row r="336">
      <c r="A336" t="inlineStr">
        <is>
          <t>R118</t>
        </is>
      </c>
      <c r="B336" t="inlineStr">
        <is>
          <t>Q7</t>
        </is>
      </c>
      <c r="C336" t="inlineStr">
        <is>
          <t>Partial</t>
        </is>
      </c>
      <c r="D336" t="inlineStr">
        <is>
          <t>Partial</t>
        </is>
      </c>
      <c r="E336">
        <f>VLOOKUP(C336,CategoryMap,2,0)</f>
        <v/>
      </c>
      <c r="F336">
        <f>VLOOKUP(D336,CategoryMap,2,0)</f>
        <v/>
      </c>
      <c r="G336">
        <f>ABS(E336-F336)</f>
        <v/>
      </c>
      <c r="H336">
        <f>IF(G336=0,"Yes","No")</f>
        <v/>
      </c>
      <c r="I336" t="inlineStr">
        <is>
          <t>Partial</t>
        </is>
      </c>
      <c r="J336">
        <f>IF(I336="","",IF(AND(I336=C336,I336=D336),"Both",IF(I336=C336,"Opus",IF(I336=D336,"Sonnet","Neither"))))</f>
        <v/>
      </c>
    </row>
    <row r="337">
      <c r="A337" t="inlineStr">
        <is>
          <t>R118</t>
        </is>
      </c>
      <c r="B337" t="inlineStr">
        <is>
          <t>Q8</t>
        </is>
      </c>
      <c r="C337" t="inlineStr">
        <is>
          <t>Partial</t>
        </is>
      </c>
      <c r="D337" t="inlineStr">
        <is>
          <t>Partial</t>
        </is>
      </c>
      <c r="E337">
        <f>VLOOKUP(C337,CategoryMap,2,0)</f>
        <v/>
      </c>
      <c r="F337">
        <f>VLOOKUP(D337,CategoryMap,2,0)</f>
        <v/>
      </c>
      <c r="G337">
        <f>ABS(E337-F337)</f>
        <v/>
      </c>
      <c r="H337">
        <f>IF(G337=0,"Yes","No")</f>
        <v/>
      </c>
      <c r="I337" t="inlineStr">
        <is>
          <t>Partial</t>
        </is>
      </c>
      <c r="J337">
        <f>IF(I337="","",IF(AND(I337=C337,I337=D337),"Both",IF(I337=C337,"Opus",IF(I337=D337,"Sonnet","Neither"))))</f>
        <v/>
      </c>
    </row>
    <row r="338">
      <c r="A338" t="inlineStr">
        <is>
          <t>R119</t>
        </is>
      </c>
      <c r="B338" t="inlineStr">
        <is>
          <t>Q1</t>
        </is>
      </c>
      <c r="C338" t="inlineStr">
        <is>
          <t>Yes</t>
        </is>
      </c>
      <c r="D338" t="inlineStr">
        <is>
          <t>Yes</t>
        </is>
      </c>
      <c r="E338">
        <f>VLOOKUP(C338,CategoryMap,2,0)</f>
        <v/>
      </c>
      <c r="F338">
        <f>VLOOKUP(D338,CategoryMap,2,0)</f>
        <v/>
      </c>
      <c r="G338">
        <f>ABS(E338-F338)</f>
        <v/>
      </c>
      <c r="H338">
        <f>IF(G338=0,"Yes","No")</f>
        <v/>
      </c>
      <c r="I338" t="inlineStr">
        <is>
          <t>Yes</t>
        </is>
      </c>
      <c r="J338">
        <f>IF(I338="","",IF(AND(I338=C338,I338=D338),"Both",IF(I338=C338,"Opus",IF(I338=D338,"Sonnet","Neither"))))</f>
        <v/>
      </c>
    </row>
    <row r="339">
      <c r="A339" t="inlineStr">
        <is>
          <t>R119</t>
        </is>
      </c>
      <c r="B339" t="inlineStr">
        <is>
          <t>Q2</t>
        </is>
      </c>
      <c r="C339" t="inlineStr">
        <is>
          <t>Partial</t>
        </is>
      </c>
      <c r="D339" t="inlineStr">
        <is>
          <t>Partial</t>
        </is>
      </c>
      <c r="E339">
        <f>VLOOKUP(C339,CategoryMap,2,0)</f>
        <v/>
      </c>
      <c r="F339">
        <f>VLOOKUP(D339,CategoryMap,2,0)</f>
        <v/>
      </c>
      <c r="G339">
        <f>ABS(E339-F339)</f>
        <v/>
      </c>
      <c r="H339">
        <f>IF(G339=0,"Yes","No")</f>
        <v/>
      </c>
      <c r="I339" t="inlineStr">
        <is>
          <t>Partial</t>
        </is>
      </c>
      <c r="J339">
        <f>IF(I339="","",IF(AND(I339=C339,I339=D339),"Both",IF(I339=C339,"Opus",IF(I339=D339,"Sonnet","Neither"))))</f>
        <v/>
      </c>
    </row>
    <row r="340">
      <c r="A340" t="inlineStr">
        <is>
          <t>R119</t>
        </is>
      </c>
      <c r="B340" t="inlineStr">
        <is>
          <t>Q3</t>
        </is>
      </c>
      <c r="C340" t="inlineStr">
        <is>
          <t>Yes</t>
        </is>
      </c>
      <c r="D340" t="inlineStr">
        <is>
          <t>Yes</t>
        </is>
      </c>
      <c r="E340">
        <f>VLOOKUP(C340,CategoryMap,2,0)</f>
        <v/>
      </c>
      <c r="F340">
        <f>VLOOKUP(D340,CategoryMap,2,0)</f>
        <v/>
      </c>
      <c r="G340">
        <f>ABS(E340-F340)</f>
        <v/>
      </c>
      <c r="H340">
        <f>IF(G340=0,"Yes","No")</f>
        <v/>
      </c>
      <c r="I340" t="inlineStr">
        <is>
          <t>Yes</t>
        </is>
      </c>
      <c r="J340">
        <f>IF(I340="","",IF(AND(I340=C340,I340=D340),"Both",IF(I340=C340,"Opus",IF(I340=D340,"Sonnet","Neither"))))</f>
        <v/>
      </c>
    </row>
    <row r="341">
      <c r="A341" t="inlineStr">
        <is>
          <t>R119</t>
        </is>
      </c>
      <c r="B341" t="inlineStr">
        <is>
          <t>Q4</t>
        </is>
      </c>
      <c r="C341" t="inlineStr">
        <is>
          <t>Partial</t>
        </is>
      </c>
      <c r="D341" t="inlineStr">
        <is>
          <t>Partial</t>
        </is>
      </c>
      <c r="E341">
        <f>VLOOKUP(C341,CategoryMap,2,0)</f>
        <v/>
      </c>
      <c r="F341">
        <f>VLOOKUP(D341,CategoryMap,2,0)</f>
        <v/>
      </c>
      <c r="G341">
        <f>ABS(E341-F341)</f>
        <v/>
      </c>
      <c r="H341">
        <f>IF(G341=0,"Yes","No")</f>
        <v/>
      </c>
      <c r="I341" t="inlineStr">
        <is>
          <t>Partial</t>
        </is>
      </c>
      <c r="J341">
        <f>IF(I341="","",IF(AND(I341=C341,I341=D341),"Both",IF(I341=C341,"Opus",IF(I341=D341,"Sonnet","Neither"))))</f>
        <v/>
      </c>
    </row>
    <row r="342">
      <c r="A342" t="inlineStr">
        <is>
          <t>R119</t>
        </is>
      </c>
      <c r="B342" t="inlineStr">
        <is>
          <t>Q5</t>
        </is>
      </c>
      <c r="C342" t="inlineStr">
        <is>
          <t>Partial</t>
        </is>
      </c>
      <c r="D342" t="inlineStr">
        <is>
          <t>Yes</t>
        </is>
      </c>
      <c r="E342">
        <f>VLOOKUP(C342,CategoryMap,2,0)</f>
        <v/>
      </c>
      <c r="F342">
        <f>VLOOKUP(D342,CategoryMap,2,0)</f>
        <v/>
      </c>
      <c r="G342">
        <f>ABS(E342-F342)</f>
        <v/>
      </c>
      <c r="H342">
        <f>IF(G342=0,"Yes","No")</f>
        <v/>
      </c>
      <c r="I342" t="inlineStr">
        <is>
          <t>Partial</t>
        </is>
      </c>
      <c r="J342">
        <f>IF(I342="","",IF(AND(I342=C342,I342=D342),"Both",IF(I342=C342,"Opus",IF(I342=D342,"Sonnet","Neither"))))</f>
        <v/>
      </c>
    </row>
    <row r="343">
      <c r="A343" t="inlineStr">
        <is>
          <t>R119</t>
        </is>
      </c>
      <c r="B343" t="inlineStr">
        <is>
          <t>Q6</t>
        </is>
      </c>
      <c r="C343" t="inlineStr">
        <is>
          <t>Partial</t>
        </is>
      </c>
      <c r="D343" t="inlineStr">
        <is>
          <t>Partial</t>
        </is>
      </c>
      <c r="E343">
        <f>VLOOKUP(C343,CategoryMap,2,0)</f>
        <v/>
      </c>
      <c r="F343">
        <f>VLOOKUP(D343,CategoryMap,2,0)</f>
        <v/>
      </c>
      <c r="G343">
        <f>ABS(E343-F343)</f>
        <v/>
      </c>
      <c r="H343">
        <f>IF(G343=0,"Yes","No")</f>
        <v/>
      </c>
      <c r="I343" t="inlineStr">
        <is>
          <t>Partial</t>
        </is>
      </c>
      <c r="J343">
        <f>IF(I343="","",IF(AND(I343=C343,I343=D343),"Both",IF(I343=C343,"Opus",IF(I343=D343,"Sonnet","Neither"))))</f>
        <v/>
      </c>
    </row>
    <row r="344">
      <c r="A344" t="inlineStr">
        <is>
          <t>R119</t>
        </is>
      </c>
      <c r="B344" t="inlineStr">
        <is>
          <t>Q7</t>
        </is>
      </c>
      <c r="C344" t="inlineStr">
        <is>
          <t>Partial</t>
        </is>
      </c>
      <c r="D344" t="inlineStr">
        <is>
          <t>Partial</t>
        </is>
      </c>
      <c r="E344">
        <f>VLOOKUP(C344,CategoryMap,2,0)</f>
        <v/>
      </c>
      <c r="F344">
        <f>VLOOKUP(D344,CategoryMap,2,0)</f>
        <v/>
      </c>
      <c r="G344">
        <f>ABS(E344-F344)</f>
        <v/>
      </c>
      <c r="H344">
        <f>IF(G344=0,"Yes","No")</f>
        <v/>
      </c>
      <c r="I344" t="inlineStr">
        <is>
          <t>Partial</t>
        </is>
      </c>
      <c r="J344">
        <f>IF(I344="","",IF(AND(I344=C344,I344=D344),"Both",IF(I344=C344,"Opus",IF(I344=D344,"Sonnet","Neither"))))</f>
        <v/>
      </c>
    </row>
    <row r="345">
      <c r="A345" t="inlineStr">
        <is>
          <t>R119</t>
        </is>
      </c>
      <c r="B345" t="inlineStr">
        <is>
          <t>Q8</t>
        </is>
      </c>
      <c r="C345" t="inlineStr">
        <is>
          <t>Yes</t>
        </is>
      </c>
      <c r="D345" t="inlineStr">
        <is>
          <t>Yes</t>
        </is>
      </c>
      <c r="E345">
        <f>VLOOKUP(C345,CategoryMap,2,0)</f>
        <v/>
      </c>
      <c r="F345">
        <f>VLOOKUP(D345,CategoryMap,2,0)</f>
        <v/>
      </c>
      <c r="G345">
        <f>ABS(E345-F345)</f>
        <v/>
      </c>
      <c r="H345">
        <f>IF(G345=0,"Yes","No")</f>
        <v/>
      </c>
      <c r="I345" t="inlineStr">
        <is>
          <t>Yes</t>
        </is>
      </c>
      <c r="J345">
        <f>IF(I345="","",IF(AND(I345=C345,I345=D345),"Both",IF(I345=C345,"Opus",IF(I345=D345,"Sonnet","Neither"))))</f>
        <v/>
      </c>
    </row>
    <row r="346">
      <c r="A346" t="inlineStr">
        <is>
          <t>R125</t>
        </is>
      </c>
      <c r="B346" t="inlineStr">
        <is>
          <t>Q1</t>
        </is>
      </c>
      <c r="C346" t="inlineStr">
        <is>
          <t>Partial</t>
        </is>
      </c>
      <c r="D346" t="inlineStr">
        <is>
          <t>No</t>
        </is>
      </c>
      <c r="E346">
        <f>VLOOKUP(C346,CategoryMap,2,0)</f>
        <v/>
      </c>
      <c r="F346">
        <f>VLOOKUP(D346,CategoryMap,2,0)</f>
        <v/>
      </c>
      <c r="G346">
        <f>ABS(E346-F346)</f>
        <v/>
      </c>
      <c r="H346">
        <f>IF(G346=0,"Yes","No")</f>
        <v/>
      </c>
      <c r="I346" t="inlineStr">
        <is>
          <t>No</t>
        </is>
      </c>
      <c r="J346">
        <f>IF(I346="","",IF(AND(I346=C346,I346=D346),"Both",IF(I346=C346,"Opus",IF(I346=D346,"Sonnet","Neither"))))</f>
        <v/>
      </c>
    </row>
    <row r="347">
      <c r="A347" t="inlineStr">
        <is>
          <t>R125</t>
        </is>
      </c>
      <c r="B347" t="inlineStr">
        <is>
          <t>Q2</t>
        </is>
      </c>
      <c r="C347" t="inlineStr">
        <is>
          <t>Partial</t>
        </is>
      </c>
      <c r="D347" t="inlineStr">
        <is>
          <t>No</t>
        </is>
      </c>
      <c r="E347">
        <f>VLOOKUP(C347,CategoryMap,2,0)</f>
        <v/>
      </c>
      <c r="F347">
        <f>VLOOKUP(D347,CategoryMap,2,0)</f>
        <v/>
      </c>
      <c r="G347">
        <f>ABS(E347-F347)</f>
        <v/>
      </c>
      <c r="H347">
        <f>IF(G347=0,"Yes","No")</f>
        <v/>
      </c>
      <c r="I347" t="inlineStr">
        <is>
          <t>No</t>
        </is>
      </c>
      <c r="J347">
        <f>IF(I347="","",IF(AND(I347=C347,I347=D347),"Both",IF(I347=C347,"Opus",IF(I347=D347,"Sonnet","Neither"))))</f>
        <v/>
      </c>
    </row>
    <row r="348">
      <c r="A348" t="inlineStr">
        <is>
          <t>R125</t>
        </is>
      </c>
      <c r="B348" t="inlineStr">
        <is>
          <t>Q3</t>
        </is>
      </c>
      <c r="C348" t="inlineStr">
        <is>
          <t>Yes</t>
        </is>
      </c>
      <c r="D348" t="inlineStr">
        <is>
          <t>No</t>
        </is>
      </c>
      <c r="E348">
        <f>VLOOKUP(C348,CategoryMap,2,0)</f>
        <v/>
      </c>
      <c r="F348">
        <f>VLOOKUP(D348,CategoryMap,2,0)</f>
        <v/>
      </c>
      <c r="G348">
        <f>ABS(E348-F348)</f>
        <v/>
      </c>
      <c r="H348">
        <f>IF(G348=0,"Yes","No")</f>
        <v/>
      </c>
      <c r="I348" t="inlineStr">
        <is>
          <t>No</t>
        </is>
      </c>
      <c r="J348">
        <f>IF(I348="","",IF(AND(I348=C348,I348=D348),"Both",IF(I348=C348,"Opus",IF(I348=D348,"Sonnet","Neither"))))</f>
        <v/>
      </c>
    </row>
    <row r="349">
      <c r="A349" t="inlineStr">
        <is>
          <t>R125</t>
        </is>
      </c>
      <c r="B349" t="inlineStr">
        <is>
          <t>Q4</t>
        </is>
      </c>
      <c r="C349" t="inlineStr">
        <is>
          <t>Partial</t>
        </is>
      </c>
      <c r="D349" t="inlineStr">
        <is>
          <t>Partial</t>
        </is>
      </c>
      <c r="E349">
        <f>VLOOKUP(C349,CategoryMap,2,0)</f>
        <v/>
      </c>
      <c r="F349">
        <f>VLOOKUP(D349,CategoryMap,2,0)</f>
        <v/>
      </c>
      <c r="G349">
        <f>ABS(E349-F349)</f>
        <v/>
      </c>
      <c r="H349">
        <f>IF(G349=0,"Yes","No")</f>
        <v/>
      </c>
      <c r="I349" t="inlineStr">
        <is>
          <t>Partial</t>
        </is>
      </c>
      <c r="J349">
        <f>IF(I349="","",IF(AND(I349=C349,I349=D349),"Both",IF(I349=C349,"Opus",IF(I349=D349,"Sonnet","Neither"))))</f>
        <v/>
      </c>
    </row>
    <row r="350">
      <c r="A350" t="inlineStr">
        <is>
          <t>R125</t>
        </is>
      </c>
      <c r="B350" t="inlineStr">
        <is>
          <t>Q5</t>
        </is>
      </c>
      <c r="C350" t="inlineStr">
        <is>
          <t>Yes</t>
        </is>
      </c>
      <c r="D350" t="inlineStr">
        <is>
          <t>Yes</t>
        </is>
      </c>
      <c r="E350">
        <f>VLOOKUP(C350,CategoryMap,2,0)</f>
        <v/>
      </c>
      <c r="F350">
        <f>VLOOKUP(D350,CategoryMap,2,0)</f>
        <v/>
      </c>
      <c r="G350">
        <f>ABS(E350-F350)</f>
        <v/>
      </c>
      <c r="H350">
        <f>IF(G350=0,"Yes","No")</f>
        <v/>
      </c>
      <c r="I350" t="inlineStr">
        <is>
          <t>Yes</t>
        </is>
      </c>
      <c r="J350">
        <f>IF(I350="","",IF(AND(I350=C350,I350=D350),"Both",IF(I350=C350,"Opus",IF(I350=D350,"Sonnet","Neither"))))</f>
        <v/>
      </c>
    </row>
    <row r="351">
      <c r="A351" t="inlineStr">
        <is>
          <t>R125</t>
        </is>
      </c>
      <c r="B351" t="inlineStr">
        <is>
          <t>Q6</t>
        </is>
      </c>
      <c r="C351" t="inlineStr">
        <is>
          <t>Yes</t>
        </is>
      </c>
      <c r="D351" t="inlineStr">
        <is>
          <t>Yes</t>
        </is>
      </c>
      <c r="E351">
        <f>VLOOKUP(C351,CategoryMap,2,0)</f>
        <v/>
      </c>
      <c r="F351">
        <f>VLOOKUP(D351,CategoryMap,2,0)</f>
        <v/>
      </c>
      <c r="G351">
        <f>ABS(E351-F351)</f>
        <v/>
      </c>
      <c r="H351">
        <f>IF(G351=0,"Yes","No")</f>
        <v/>
      </c>
      <c r="I351" t="inlineStr">
        <is>
          <t>Yes</t>
        </is>
      </c>
      <c r="J351">
        <f>IF(I351="","",IF(AND(I351=C351,I351=D351),"Both",IF(I351=C351,"Opus",IF(I351=D351,"Sonnet","Neither"))))</f>
        <v/>
      </c>
    </row>
    <row r="352">
      <c r="A352" t="inlineStr">
        <is>
          <t>R125</t>
        </is>
      </c>
      <c r="B352" t="inlineStr">
        <is>
          <t>Q7</t>
        </is>
      </c>
      <c r="C352" t="inlineStr">
        <is>
          <t>Yes</t>
        </is>
      </c>
      <c r="D352" t="inlineStr">
        <is>
          <t>Yes</t>
        </is>
      </c>
      <c r="E352">
        <f>VLOOKUP(C352,CategoryMap,2,0)</f>
        <v/>
      </c>
      <c r="F352">
        <f>VLOOKUP(D352,CategoryMap,2,0)</f>
        <v/>
      </c>
      <c r="G352">
        <f>ABS(E352-F352)</f>
        <v/>
      </c>
      <c r="H352">
        <f>IF(G352=0,"Yes","No")</f>
        <v/>
      </c>
      <c r="I352" t="inlineStr">
        <is>
          <t>Yes</t>
        </is>
      </c>
      <c r="J352">
        <f>IF(I352="","",IF(AND(I352=C352,I352=D352),"Both",IF(I352=C352,"Opus",IF(I352=D352,"Sonnet","Neither"))))</f>
        <v/>
      </c>
    </row>
    <row r="353">
      <c r="A353" t="inlineStr">
        <is>
          <t>R125</t>
        </is>
      </c>
      <c r="B353" t="inlineStr">
        <is>
          <t>Q8</t>
        </is>
      </c>
      <c r="C353" t="inlineStr">
        <is>
          <t>No</t>
        </is>
      </c>
      <c r="D353" t="inlineStr">
        <is>
          <t>No</t>
        </is>
      </c>
      <c r="E353">
        <f>VLOOKUP(C353,CategoryMap,2,0)</f>
        <v/>
      </c>
      <c r="F353">
        <f>VLOOKUP(D353,CategoryMap,2,0)</f>
        <v/>
      </c>
      <c r="G353">
        <f>ABS(E353-F353)</f>
        <v/>
      </c>
      <c r="H353">
        <f>IF(G353=0,"Yes","No")</f>
        <v/>
      </c>
      <c r="I353" t="inlineStr">
        <is>
          <t>No</t>
        </is>
      </c>
      <c r="J353">
        <f>IF(I353="","",IF(AND(I353=C353,I353=D353),"Both",IF(I353=C353,"Opus",IF(I353=D353,"Sonnet","Neither"))))</f>
        <v/>
      </c>
    </row>
    <row r="354">
      <c r="A354" t="inlineStr">
        <is>
          <t>R128</t>
        </is>
      </c>
      <c r="B354" t="inlineStr">
        <is>
          <t>Q1</t>
        </is>
      </c>
      <c r="C354" t="inlineStr">
        <is>
          <t>Partial</t>
        </is>
      </c>
      <c r="D354" t="inlineStr">
        <is>
          <t>Partial</t>
        </is>
      </c>
      <c r="E354">
        <f>VLOOKUP(C354,CategoryMap,2,0)</f>
        <v/>
      </c>
      <c r="F354">
        <f>VLOOKUP(D354,CategoryMap,2,0)</f>
        <v/>
      </c>
      <c r="G354">
        <f>ABS(E354-F354)</f>
        <v/>
      </c>
      <c r="H354">
        <f>IF(G354=0,"Yes","No")</f>
        <v/>
      </c>
      <c r="I354" t="inlineStr">
        <is>
          <t>Partial</t>
        </is>
      </c>
      <c r="J354">
        <f>IF(I354="","",IF(AND(I354=C354,I354=D354),"Both",IF(I354=C354,"Opus",IF(I354=D354,"Sonnet","Neither"))))</f>
        <v/>
      </c>
    </row>
    <row r="355">
      <c r="A355" t="inlineStr">
        <is>
          <t>R128</t>
        </is>
      </c>
      <c r="B355" t="inlineStr">
        <is>
          <t>Q2</t>
        </is>
      </c>
      <c r="C355" t="inlineStr">
        <is>
          <t>Partial</t>
        </is>
      </c>
      <c r="D355" t="inlineStr">
        <is>
          <t>Partial</t>
        </is>
      </c>
      <c r="E355">
        <f>VLOOKUP(C355,CategoryMap,2,0)</f>
        <v/>
      </c>
      <c r="F355">
        <f>VLOOKUP(D355,CategoryMap,2,0)</f>
        <v/>
      </c>
      <c r="G355">
        <f>ABS(E355-F355)</f>
        <v/>
      </c>
      <c r="H355">
        <f>IF(G355=0,"Yes","No")</f>
        <v/>
      </c>
      <c r="I355" t="inlineStr">
        <is>
          <t>Partial</t>
        </is>
      </c>
      <c r="J355">
        <f>IF(I355="","",IF(AND(I355=C355,I355=D355),"Both",IF(I355=C355,"Opus",IF(I355=D355,"Sonnet","Neither"))))</f>
        <v/>
      </c>
    </row>
    <row r="356">
      <c r="A356" t="inlineStr">
        <is>
          <t>R128</t>
        </is>
      </c>
      <c r="B356" t="inlineStr">
        <is>
          <t>Q3</t>
        </is>
      </c>
      <c r="C356" t="inlineStr">
        <is>
          <t>Yes</t>
        </is>
      </c>
      <c r="D356" t="inlineStr">
        <is>
          <t>Partial</t>
        </is>
      </c>
      <c r="E356">
        <f>VLOOKUP(C356,CategoryMap,2,0)</f>
        <v/>
      </c>
      <c r="F356">
        <f>VLOOKUP(D356,CategoryMap,2,0)</f>
        <v/>
      </c>
      <c r="G356">
        <f>ABS(E356-F356)</f>
        <v/>
      </c>
      <c r="H356">
        <f>IF(G356=0,"Yes","No")</f>
        <v/>
      </c>
      <c r="I356" t="inlineStr">
        <is>
          <t>Yes</t>
        </is>
      </c>
      <c r="J356">
        <f>IF(I356="","",IF(AND(I356=C356,I356=D356),"Both",IF(I356=C356,"Opus",IF(I356=D356,"Sonnet","Neither"))))</f>
        <v/>
      </c>
    </row>
    <row r="357">
      <c r="A357" t="inlineStr">
        <is>
          <t>R128</t>
        </is>
      </c>
      <c r="B357" t="inlineStr">
        <is>
          <t>Q4</t>
        </is>
      </c>
      <c r="C357" t="inlineStr">
        <is>
          <t>No</t>
        </is>
      </c>
      <c r="D357" t="inlineStr">
        <is>
          <t>No</t>
        </is>
      </c>
      <c r="E357">
        <f>VLOOKUP(C357,CategoryMap,2,0)</f>
        <v/>
      </c>
      <c r="F357">
        <f>VLOOKUP(D357,CategoryMap,2,0)</f>
        <v/>
      </c>
      <c r="G357">
        <f>ABS(E357-F357)</f>
        <v/>
      </c>
      <c r="H357">
        <f>IF(G357=0,"Yes","No")</f>
        <v/>
      </c>
      <c r="I357" t="inlineStr">
        <is>
          <t>No</t>
        </is>
      </c>
      <c r="J357">
        <f>IF(I357="","",IF(AND(I357=C357,I357=D357),"Both",IF(I357=C357,"Opus",IF(I357=D357,"Sonnet","Neither"))))</f>
        <v/>
      </c>
    </row>
    <row r="358">
      <c r="A358" t="inlineStr">
        <is>
          <t>R128</t>
        </is>
      </c>
      <c r="B358" t="inlineStr">
        <is>
          <t>Q5</t>
        </is>
      </c>
      <c r="C358" t="inlineStr">
        <is>
          <t>Partial</t>
        </is>
      </c>
      <c r="D358" t="inlineStr">
        <is>
          <t>Partial</t>
        </is>
      </c>
      <c r="E358">
        <f>VLOOKUP(C358,CategoryMap,2,0)</f>
        <v/>
      </c>
      <c r="F358">
        <f>VLOOKUP(D358,CategoryMap,2,0)</f>
        <v/>
      </c>
      <c r="G358">
        <f>ABS(E358-F358)</f>
        <v/>
      </c>
      <c r="H358">
        <f>IF(G358=0,"Yes","No")</f>
        <v/>
      </c>
      <c r="I358" t="inlineStr">
        <is>
          <t>Partial</t>
        </is>
      </c>
      <c r="J358">
        <f>IF(I358="","",IF(AND(I358=C358,I358=D358),"Both",IF(I358=C358,"Opus",IF(I358=D358,"Sonnet","Neither"))))</f>
        <v/>
      </c>
    </row>
    <row r="359">
      <c r="A359" t="inlineStr">
        <is>
          <t>R128</t>
        </is>
      </c>
      <c r="B359" t="inlineStr">
        <is>
          <t>Q6</t>
        </is>
      </c>
      <c r="C359" t="inlineStr">
        <is>
          <t>Partial</t>
        </is>
      </c>
      <c r="D359" t="inlineStr">
        <is>
          <t>Partial</t>
        </is>
      </c>
      <c r="E359">
        <f>VLOOKUP(C359,CategoryMap,2,0)</f>
        <v/>
      </c>
      <c r="F359">
        <f>VLOOKUP(D359,CategoryMap,2,0)</f>
        <v/>
      </c>
      <c r="G359">
        <f>ABS(E359-F359)</f>
        <v/>
      </c>
      <c r="H359">
        <f>IF(G359=0,"Yes","No")</f>
        <v/>
      </c>
      <c r="I359" t="inlineStr">
        <is>
          <t>Partial</t>
        </is>
      </c>
      <c r="J359">
        <f>IF(I359="","",IF(AND(I359=C359,I359=D359),"Both",IF(I359=C359,"Opus",IF(I359=D359,"Sonnet","Neither"))))</f>
        <v/>
      </c>
    </row>
    <row r="360">
      <c r="A360" t="inlineStr">
        <is>
          <t>R128</t>
        </is>
      </c>
      <c r="B360" t="inlineStr">
        <is>
          <t>Q7</t>
        </is>
      </c>
      <c r="C360" t="inlineStr">
        <is>
          <t>No</t>
        </is>
      </c>
      <c r="D360" t="inlineStr">
        <is>
          <t>No</t>
        </is>
      </c>
      <c r="E360">
        <f>VLOOKUP(C360,CategoryMap,2,0)</f>
        <v/>
      </c>
      <c r="F360">
        <f>VLOOKUP(D360,CategoryMap,2,0)</f>
        <v/>
      </c>
      <c r="G360">
        <f>ABS(E360-F360)</f>
        <v/>
      </c>
      <c r="H360">
        <f>IF(G360=0,"Yes","No")</f>
        <v/>
      </c>
      <c r="I360" t="inlineStr">
        <is>
          <t>No</t>
        </is>
      </c>
      <c r="J360">
        <f>IF(I360="","",IF(AND(I360=C360,I360=D360),"Both",IF(I360=C360,"Opus",IF(I360=D360,"Sonnet","Neither"))))</f>
        <v/>
      </c>
    </row>
    <row r="361">
      <c r="A361" t="inlineStr">
        <is>
          <t>R128</t>
        </is>
      </c>
      <c r="B361" t="inlineStr">
        <is>
          <t>Q8</t>
        </is>
      </c>
      <c r="C361" t="inlineStr">
        <is>
          <t>Yes</t>
        </is>
      </c>
      <c r="D361" t="inlineStr">
        <is>
          <t>Yes</t>
        </is>
      </c>
      <c r="E361">
        <f>VLOOKUP(C361,CategoryMap,2,0)</f>
        <v/>
      </c>
      <c r="F361">
        <f>VLOOKUP(D361,CategoryMap,2,0)</f>
        <v/>
      </c>
      <c r="G361">
        <f>ABS(E361-F361)</f>
        <v/>
      </c>
      <c r="H361">
        <f>IF(G361=0,"Yes","No")</f>
        <v/>
      </c>
      <c r="I361" t="inlineStr">
        <is>
          <t>Yes</t>
        </is>
      </c>
      <c r="J361">
        <f>IF(I361="","",IF(AND(I361=C361,I361=D361),"Both",IF(I361=C361,"Opus",IF(I361=D361,"Sonnet","Neither"))))</f>
        <v/>
      </c>
    </row>
    <row r="362">
      <c r="A362" t="inlineStr">
        <is>
          <t>R130</t>
        </is>
      </c>
      <c r="B362" t="inlineStr">
        <is>
          <t>Q1</t>
        </is>
      </c>
      <c r="C362" t="inlineStr">
        <is>
          <t>Partial</t>
        </is>
      </c>
      <c r="D362" t="inlineStr">
        <is>
          <t>No</t>
        </is>
      </c>
      <c r="E362">
        <f>VLOOKUP(C362,CategoryMap,2,0)</f>
        <v/>
      </c>
      <c r="F362">
        <f>VLOOKUP(D362,CategoryMap,2,0)</f>
        <v/>
      </c>
      <c r="G362">
        <f>ABS(E362-F362)</f>
        <v/>
      </c>
      <c r="H362">
        <f>IF(G362=0,"Yes","No")</f>
        <v/>
      </c>
      <c r="I362" t="inlineStr">
        <is>
          <t>Partial</t>
        </is>
      </c>
      <c r="J362">
        <f>IF(I362="","",IF(AND(I362=C362,I362=D362),"Both",IF(I362=C362,"Opus",IF(I362=D362,"Sonnet","Neither"))))</f>
        <v/>
      </c>
    </row>
    <row r="363">
      <c r="A363" t="inlineStr">
        <is>
          <t>R130</t>
        </is>
      </c>
      <c r="B363" t="inlineStr">
        <is>
          <t>Q2</t>
        </is>
      </c>
      <c r="C363" t="inlineStr">
        <is>
          <t>Partial</t>
        </is>
      </c>
      <c r="D363" t="inlineStr">
        <is>
          <t>Partial</t>
        </is>
      </c>
      <c r="E363">
        <f>VLOOKUP(C363,CategoryMap,2,0)</f>
        <v/>
      </c>
      <c r="F363">
        <f>VLOOKUP(D363,CategoryMap,2,0)</f>
        <v/>
      </c>
      <c r="G363">
        <f>ABS(E363-F363)</f>
        <v/>
      </c>
      <c r="H363">
        <f>IF(G363=0,"Yes","No")</f>
        <v/>
      </c>
      <c r="I363" t="inlineStr">
        <is>
          <t>Partial</t>
        </is>
      </c>
      <c r="J363">
        <f>IF(I363="","",IF(AND(I363=C363,I363=D363),"Both",IF(I363=C363,"Opus",IF(I363=D363,"Sonnet","Neither"))))</f>
        <v/>
      </c>
    </row>
    <row r="364">
      <c r="A364" t="inlineStr">
        <is>
          <t>R130</t>
        </is>
      </c>
      <c r="B364" t="inlineStr">
        <is>
          <t>Q3</t>
        </is>
      </c>
      <c r="C364" t="inlineStr">
        <is>
          <t>Yes</t>
        </is>
      </c>
      <c r="D364" t="inlineStr">
        <is>
          <t>Partial</t>
        </is>
      </c>
      <c r="E364">
        <f>VLOOKUP(C364,CategoryMap,2,0)</f>
        <v/>
      </c>
      <c r="F364">
        <f>VLOOKUP(D364,CategoryMap,2,0)</f>
        <v/>
      </c>
      <c r="G364">
        <f>ABS(E364-F364)</f>
        <v/>
      </c>
      <c r="H364">
        <f>IF(G364=0,"Yes","No")</f>
        <v/>
      </c>
      <c r="I364" t="inlineStr">
        <is>
          <t>Yes</t>
        </is>
      </c>
      <c r="J364">
        <f>IF(I364="","",IF(AND(I364=C364,I364=D364),"Both",IF(I364=C364,"Opus",IF(I364=D364,"Sonnet","Neither"))))</f>
        <v/>
      </c>
    </row>
    <row r="365">
      <c r="A365" t="inlineStr">
        <is>
          <t>R130</t>
        </is>
      </c>
      <c r="B365" t="inlineStr">
        <is>
          <t>Q4</t>
        </is>
      </c>
      <c r="C365" t="inlineStr">
        <is>
          <t>Partial</t>
        </is>
      </c>
      <c r="D365" t="inlineStr">
        <is>
          <t>Partial</t>
        </is>
      </c>
      <c r="E365">
        <f>VLOOKUP(C365,CategoryMap,2,0)</f>
        <v/>
      </c>
      <c r="F365">
        <f>VLOOKUP(D365,CategoryMap,2,0)</f>
        <v/>
      </c>
      <c r="G365">
        <f>ABS(E365-F365)</f>
        <v/>
      </c>
      <c r="H365">
        <f>IF(G365=0,"Yes","No")</f>
        <v/>
      </c>
      <c r="I365" t="inlineStr">
        <is>
          <t>Partial</t>
        </is>
      </c>
      <c r="J365">
        <f>IF(I365="","",IF(AND(I365=C365,I365=D365),"Both",IF(I365=C365,"Opus",IF(I365=D365,"Sonnet","Neither"))))</f>
        <v/>
      </c>
    </row>
    <row r="366">
      <c r="A366" t="inlineStr">
        <is>
          <t>R130</t>
        </is>
      </c>
      <c r="B366" t="inlineStr">
        <is>
          <t>Q5</t>
        </is>
      </c>
      <c r="C366" t="inlineStr">
        <is>
          <t>No</t>
        </is>
      </c>
      <c r="D366" t="inlineStr">
        <is>
          <t>No</t>
        </is>
      </c>
      <c r="E366">
        <f>VLOOKUP(C366,CategoryMap,2,0)</f>
        <v/>
      </c>
      <c r="F366">
        <f>VLOOKUP(D366,CategoryMap,2,0)</f>
        <v/>
      </c>
      <c r="G366">
        <f>ABS(E366-F366)</f>
        <v/>
      </c>
      <c r="H366">
        <f>IF(G366=0,"Yes","No")</f>
        <v/>
      </c>
      <c r="I366" t="inlineStr">
        <is>
          <t>No</t>
        </is>
      </c>
      <c r="J366">
        <f>IF(I366="","",IF(AND(I366=C366,I366=D366),"Both",IF(I366=C366,"Opus",IF(I366=D366,"Sonnet","Neither"))))</f>
        <v/>
      </c>
    </row>
    <row r="367">
      <c r="A367" t="inlineStr">
        <is>
          <t>R130</t>
        </is>
      </c>
      <c r="B367" t="inlineStr">
        <is>
          <t>Q6</t>
        </is>
      </c>
      <c r="C367" t="inlineStr">
        <is>
          <t>No</t>
        </is>
      </c>
      <c r="D367" t="inlineStr">
        <is>
          <t>No</t>
        </is>
      </c>
      <c r="E367">
        <f>VLOOKUP(C367,CategoryMap,2,0)</f>
        <v/>
      </c>
      <c r="F367">
        <f>VLOOKUP(D367,CategoryMap,2,0)</f>
        <v/>
      </c>
      <c r="G367">
        <f>ABS(E367-F367)</f>
        <v/>
      </c>
      <c r="H367">
        <f>IF(G367=0,"Yes","No")</f>
        <v/>
      </c>
      <c r="I367" t="inlineStr">
        <is>
          <t>No</t>
        </is>
      </c>
      <c r="J367">
        <f>IF(I367="","",IF(AND(I367=C367,I367=D367),"Both",IF(I367=C367,"Opus",IF(I367=D367,"Sonnet","Neither"))))</f>
        <v/>
      </c>
    </row>
    <row r="368">
      <c r="A368" t="inlineStr">
        <is>
          <t>R130</t>
        </is>
      </c>
      <c r="B368" t="inlineStr">
        <is>
          <t>Q7</t>
        </is>
      </c>
      <c r="C368" t="inlineStr">
        <is>
          <t>No</t>
        </is>
      </c>
      <c r="D368" t="inlineStr">
        <is>
          <t>No</t>
        </is>
      </c>
      <c r="E368">
        <f>VLOOKUP(C368,CategoryMap,2,0)</f>
        <v/>
      </c>
      <c r="F368">
        <f>VLOOKUP(D368,CategoryMap,2,0)</f>
        <v/>
      </c>
      <c r="G368">
        <f>ABS(E368-F368)</f>
        <v/>
      </c>
      <c r="H368">
        <f>IF(G368=0,"Yes","No")</f>
        <v/>
      </c>
      <c r="I368" t="inlineStr">
        <is>
          <t>No</t>
        </is>
      </c>
      <c r="J368">
        <f>IF(I368="","",IF(AND(I368=C368,I368=D368),"Both",IF(I368=C368,"Opus",IF(I368=D368,"Sonnet","Neither"))))</f>
        <v/>
      </c>
    </row>
    <row r="369">
      <c r="A369" t="inlineStr">
        <is>
          <t>R130</t>
        </is>
      </c>
      <c r="B369" t="inlineStr">
        <is>
          <t>Q8</t>
        </is>
      </c>
      <c r="C369" t="inlineStr">
        <is>
          <t>Partial</t>
        </is>
      </c>
      <c r="D369" t="inlineStr">
        <is>
          <t>No</t>
        </is>
      </c>
      <c r="E369">
        <f>VLOOKUP(C369,CategoryMap,2,0)</f>
        <v/>
      </c>
      <c r="F369">
        <f>VLOOKUP(D369,CategoryMap,2,0)</f>
        <v/>
      </c>
      <c r="G369">
        <f>ABS(E369-F369)</f>
        <v/>
      </c>
      <c r="H369">
        <f>IF(G369=0,"Yes","No")</f>
        <v/>
      </c>
      <c r="I369" t="inlineStr">
        <is>
          <t>Partial</t>
        </is>
      </c>
      <c r="J369">
        <f>IF(I369="","",IF(AND(I369=C369,I369=D369),"Both",IF(I369=C369,"Opus",IF(I369=D369,"Sonnet","Neither"))))</f>
        <v/>
      </c>
    </row>
    <row r="370">
      <c r="A370" t="inlineStr">
        <is>
          <t>R131</t>
        </is>
      </c>
      <c r="B370" t="inlineStr">
        <is>
          <t>Q1</t>
        </is>
      </c>
      <c r="C370" t="inlineStr">
        <is>
          <t>Partial</t>
        </is>
      </c>
      <c r="D370" t="inlineStr">
        <is>
          <t>No</t>
        </is>
      </c>
      <c r="E370">
        <f>VLOOKUP(C370,CategoryMap,2,0)</f>
        <v/>
      </c>
      <c r="F370">
        <f>VLOOKUP(D370,CategoryMap,2,0)</f>
        <v/>
      </c>
      <c r="G370">
        <f>ABS(E370-F370)</f>
        <v/>
      </c>
      <c r="H370">
        <f>IF(G370=0,"Yes","No")</f>
        <v/>
      </c>
      <c r="I370" t="inlineStr">
        <is>
          <t>Partial</t>
        </is>
      </c>
      <c r="J370">
        <f>IF(I370="","",IF(AND(I370=C370,I370=D370),"Both",IF(I370=C370,"Opus",IF(I370=D370,"Sonnet","Neither"))))</f>
        <v/>
      </c>
    </row>
    <row r="371">
      <c r="A371" t="inlineStr">
        <is>
          <t>R131</t>
        </is>
      </c>
      <c r="B371" t="inlineStr">
        <is>
          <t>Q2</t>
        </is>
      </c>
      <c r="C371" t="inlineStr">
        <is>
          <t>Partial</t>
        </is>
      </c>
      <c r="D371" t="inlineStr">
        <is>
          <t>Partial</t>
        </is>
      </c>
      <c r="E371">
        <f>VLOOKUP(C371,CategoryMap,2,0)</f>
        <v/>
      </c>
      <c r="F371">
        <f>VLOOKUP(D371,CategoryMap,2,0)</f>
        <v/>
      </c>
      <c r="G371">
        <f>ABS(E371-F371)</f>
        <v/>
      </c>
      <c r="H371">
        <f>IF(G371=0,"Yes","No")</f>
        <v/>
      </c>
      <c r="I371" t="inlineStr">
        <is>
          <t>Partial</t>
        </is>
      </c>
      <c r="J371">
        <f>IF(I371="","",IF(AND(I371=C371,I371=D371),"Both",IF(I371=C371,"Opus",IF(I371=D371,"Sonnet","Neither"))))</f>
        <v/>
      </c>
    </row>
    <row r="372">
      <c r="A372" t="inlineStr">
        <is>
          <t>R131</t>
        </is>
      </c>
      <c r="B372" t="inlineStr">
        <is>
          <t>Q3</t>
        </is>
      </c>
      <c r="C372" t="inlineStr">
        <is>
          <t>Partial</t>
        </is>
      </c>
      <c r="D372" t="inlineStr">
        <is>
          <t>No</t>
        </is>
      </c>
      <c r="E372">
        <f>VLOOKUP(C372,CategoryMap,2,0)</f>
        <v/>
      </c>
      <c r="F372">
        <f>VLOOKUP(D372,CategoryMap,2,0)</f>
        <v/>
      </c>
      <c r="G372">
        <f>ABS(E372-F372)</f>
        <v/>
      </c>
      <c r="H372">
        <f>IF(G372=0,"Yes","No")</f>
        <v/>
      </c>
      <c r="I372" t="inlineStr">
        <is>
          <t>Partial</t>
        </is>
      </c>
      <c r="J372">
        <f>IF(I372="","",IF(AND(I372=C372,I372=D372),"Both",IF(I372=C372,"Opus",IF(I372=D372,"Sonnet","Neither"))))</f>
        <v/>
      </c>
    </row>
    <row r="373">
      <c r="A373" t="inlineStr">
        <is>
          <t>R131</t>
        </is>
      </c>
      <c r="B373" t="inlineStr">
        <is>
          <t>Q4</t>
        </is>
      </c>
      <c r="C373" t="inlineStr">
        <is>
          <t>Partial</t>
        </is>
      </c>
      <c r="D373" t="inlineStr">
        <is>
          <t>Yes</t>
        </is>
      </c>
      <c r="E373">
        <f>VLOOKUP(C373,CategoryMap,2,0)</f>
        <v/>
      </c>
      <c r="F373">
        <f>VLOOKUP(D373,CategoryMap,2,0)</f>
        <v/>
      </c>
      <c r="G373">
        <f>ABS(E373-F373)</f>
        <v/>
      </c>
      <c r="H373">
        <f>IF(G373=0,"Yes","No")</f>
        <v/>
      </c>
      <c r="I373" t="inlineStr">
        <is>
          <t>Partial</t>
        </is>
      </c>
      <c r="J373">
        <f>IF(I373="","",IF(AND(I373=C373,I373=D373),"Both",IF(I373=C373,"Opus",IF(I373=D373,"Sonnet","Neither"))))</f>
        <v/>
      </c>
    </row>
    <row r="374">
      <c r="A374" t="inlineStr">
        <is>
          <t>R131</t>
        </is>
      </c>
      <c r="B374" t="inlineStr">
        <is>
          <t>Q5</t>
        </is>
      </c>
      <c r="C374" t="inlineStr">
        <is>
          <t>Yes</t>
        </is>
      </c>
      <c r="D374" t="inlineStr">
        <is>
          <t>Yes</t>
        </is>
      </c>
      <c r="E374">
        <f>VLOOKUP(C374,CategoryMap,2,0)</f>
        <v/>
      </c>
      <c r="F374">
        <f>VLOOKUP(D374,CategoryMap,2,0)</f>
        <v/>
      </c>
      <c r="G374">
        <f>ABS(E374-F374)</f>
        <v/>
      </c>
      <c r="H374">
        <f>IF(G374=0,"Yes","No")</f>
        <v/>
      </c>
      <c r="I374" t="inlineStr">
        <is>
          <t>Yes</t>
        </is>
      </c>
      <c r="J374">
        <f>IF(I374="","",IF(AND(I374=C374,I374=D374),"Both",IF(I374=C374,"Opus",IF(I374=D374,"Sonnet","Neither"))))</f>
        <v/>
      </c>
    </row>
    <row r="375">
      <c r="A375" t="inlineStr">
        <is>
          <t>R131</t>
        </is>
      </c>
      <c r="B375" t="inlineStr">
        <is>
          <t>Q6</t>
        </is>
      </c>
      <c r="C375" t="inlineStr">
        <is>
          <t>Yes</t>
        </is>
      </c>
      <c r="D375" t="inlineStr">
        <is>
          <t>Yes</t>
        </is>
      </c>
      <c r="E375">
        <f>VLOOKUP(C375,CategoryMap,2,0)</f>
        <v/>
      </c>
      <c r="F375">
        <f>VLOOKUP(D375,CategoryMap,2,0)</f>
        <v/>
      </c>
      <c r="G375">
        <f>ABS(E375-F375)</f>
        <v/>
      </c>
      <c r="H375">
        <f>IF(G375=0,"Yes","No")</f>
        <v/>
      </c>
      <c r="I375" t="inlineStr">
        <is>
          <t>Yes</t>
        </is>
      </c>
      <c r="J375">
        <f>IF(I375="","",IF(AND(I375=C375,I375=D375),"Both",IF(I375=C375,"Opus",IF(I375=D375,"Sonnet","Neither"))))</f>
        <v/>
      </c>
    </row>
    <row r="376">
      <c r="A376" t="inlineStr">
        <is>
          <t>R131</t>
        </is>
      </c>
      <c r="B376" t="inlineStr">
        <is>
          <t>Q7</t>
        </is>
      </c>
      <c r="C376" t="inlineStr">
        <is>
          <t>Yes</t>
        </is>
      </c>
      <c r="D376" t="inlineStr">
        <is>
          <t>Yes</t>
        </is>
      </c>
      <c r="E376">
        <f>VLOOKUP(C376,CategoryMap,2,0)</f>
        <v/>
      </c>
      <c r="F376">
        <f>VLOOKUP(D376,CategoryMap,2,0)</f>
        <v/>
      </c>
      <c r="G376">
        <f>ABS(E376-F376)</f>
        <v/>
      </c>
      <c r="H376">
        <f>IF(G376=0,"Yes","No")</f>
        <v/>
      </c>
      <c r="I376" t="inlineStr">
        <is>
          <t>Yes</t>
        </is>
      </c>
      <c r="J376">
        <f>IF(I376="","",IF(AND(I376=C376,I376=D376),"Both",IF(I376=C376,"Opus",IF(I376=D376,"Sonnet","Neither"))))</f>
        <v/>
      </c>
    </row>
    <row r="377">
      <c r="A377" t="inlineStr">
        <is>
          <t>R131</t>
        </is>
      </c>
      <c r="B377" t="inlineStr">
        <is>
          <t>Q8</t>
        </is>
      </c>
      <c r="C377" t="inlineStr">
        <is>
          <t>Partial</t>
        </is>
      </c>
      <c r="D377" t="inlineStr">
        <is>
          <t>No</t>
        </is>
      </c>
      <c r="E377">
        <f>VLOOKUP(C377,CategoryMap,2,0)</f>
        <v/>
      </c>
      <c r="F377">
        <f>VLOOKUP(D377,CategoryMap,2,0)</f>
        <v/>
      </c>
      <c r="G377">
        <f>ABS(E377-F377)</f>
        <v/>
      </c>
      <c r="H377">
        <f>IF(G377=0,"Yes","No")</f>
        <v/>
      </c>
      <c r="I377" t="inlineStr">
        <is>
          <t>Partial</t>
        </is>
      </c>
      <c r="J377">
        <f>IF(I377="","",IF(AND(I377=C377,I377=D377),"Both",IF(I377=C377,"Opus",IF(I377=D377,"Sonnet","Neither"))))</f>
        <v/>
      </c>
    </row>
    <row r="378">
      <c r="A378" t="inlineStr">
        <is>
          <t>R132</t>
        </is>
      </c>
      <c r="B378" t="inlineStr">
        <is>
          <t>Q1</t>
        </is>
      </c>
      <c r="C378" t="inlineStr">
        <is>
          <t>Partial</t>
        </is>
      </c>
      <c r="D378" t="inlineStr">
        <is>
          <t>Partial</t>
        </is>
      </c>
      <c r="E378">
        <f>VLOOKUP(C378,CategoryMap,2,0)</f>
        <v/>
      </c>
      <c r="F378">
        <f>VLOOKUP(D378,CategoryMap,2,0)</f>
        <v/>
      </c>
      <c r="G378">
        <f>ABS(E378-F378)</f>
        <v/>
      </c>
      <c r="H378">
        <f>IF(G378=0,"Yes","No")</f>
        <v/>
      </c>
      <c r="I378" t="inlineStr">
        <is>
          <t>Partial</t>
        </is>
      </c>
      <c r="J378">
        <f>IF(I378="","",IF(AND(I378=C378,I378=D378),"Both",IF(I378=C378,"Opus",IF(I378=D378,"Sonnet","Neither"))))</f>
        <v/>
      </c>
    </row>
    <row r="379">
      <c r="A379" t="inlineStr">
        <is>
          <t>R132</t>
        </is>
      </c>
      <c r="B379" t="inlineStr">
        <is>
          <t>Q2</t>
        </is>
      </c>
      <c r="C379" t="inlineStr">
        <is>
          <t>Partial</t>
        </is>
      </c>
      <c r="D379" t="inlineStr">
        <is>
          <t>Partial</t>
        </is>
      </c>
      <c r="E379">
        <f>VLOOKUP(C379,CategoryMap,2,0)</f>
        <v/>
      </c>
      <c r="F379">
        <f>VLOOKUP(D379,CategoryMap,2,0)</f>
        <v/>
      </c>
      <c r="G379">
        <f>ABS(E379-F379)</f>
        <v/>
      </c>
      <c r="H379">
        <f>IF(G379=0,"Yes","No")</f>
        <v/>
      </c>
      <c r="I379" t="inlineStr">
        <is>
          <t>Partial</t>
        </is>
      </c>
      <c r="J379">
        <f>IF(I379="","",IF(AND(I379=C379,I379=D379),"Both",IF(I379=C379,"Opus",IF(I379=D379,"Sonnet","Neither"))))</f>
        <v/>
      </c>
    </row>
    <row r="380">
      <c r="A380" t="inlineStr">
        <is>
          <t>R132</t>
        </is>
      </c>
      <c r="B380" t="inlineStr">
        <is>
          <t>Q3</t>
        </is>
      </c>
      <c r="C380" t="inlineStr">
        <is>
          <t>Yes</t>
        </is>
      </c>
      <c r="D380" t="inlineStr">
        <is>
          <t>Yes</t>
        </is>
      </c>
      <c r="E380">
        <f>VLOOKUP(C380,CategoryMap,2,0)</f>
        <v/>
      </c>
      <c r="F380">
        <f>VLOOKUP(D380,CategoryMap,2,0)</f>
        <v/>
      </c>
      <c r="G380">
        <f>ABS(E380-F380)</f>
        <v/>
      </c>
      <c r="H380">
        <f>IF(G380=0,"Yes","No")</f>
        <v/>
      </c>
      <c r="I380" t="inlineStr">
        <is>
          <t>Yes</t>
        </is>
      </c>
      <c r="J380">
        <f>IF(I380="","",IF(AND(I380=C380,I380=D380),"Both",IF(I380=C380,"Opus",IF(I380=D380,"Sonnet","Neither"))))</f>
        <v/>
      </c>
    </row>
    <row r="381">
      <c r="A381" t="inlineStr">
        <is>
          <t>R132</t>
        </is>
      </c>
      <c r="B381" t="inlineStr">
        <is>
          <t>Q4</t>
        </is>
      </c>
      <c r="C381" t="inlineStr">
        <is>
          <t>No</t>
        </is>
      </c>
      <c r="D381" t="inlineStr">
        <is>
          <t>No</t>
        </is>
      </c>
      <c r="E381">
        <f>VLOOKUP(C381,CategoryMap,2,0)</f>
        <v/>
      </c>
      <c r="F381">
        <f>VLOOKUP(D381,CategoryMap,2,0)</f>
        <v/>
      </c>
      <c r="G381">
        <f>ABS(E381-F381)</f>
        <v/>
      </c>
      <c r="H381">
        <f>IF(G381=0,"Yes","No")</f>
        <v/>
      </c>
      <c r="I381" t="inlineStr">
        <is>
          <t>No</t>
        </is>
      </c>
      <c r="J381">
        <f>IF(I381="","",IF(AND(I381=C381,I381=D381),"Both",IF(I381=C381,"Opus",IF(I381=D381,"Sonnet","Neither"))))</f>
        <v/>
      </c>
    </row>
    <row r="382">
      <c r="A382" t="inlineStr">
        <is>
          <t>R132</t>
        </is>
      </c>
      <c r="B382" t="inlineStr">
        <is>
          <t>Q5</t>
        </is>
      </c>
      <c r="C382" t="inlineStr">
        <is>
          <t>Partial</t>
        </is>
      </c>
      <c r="D382" t="inlineStr">
        <is>
          <t>Partial</t>
        </is>
      </c>
      <c r="E382">
        <f>VLOOKUP(C382,CategoryMap,2,0)</f>
        <v/>
      </c>
      <c r="F382">
        <f>VLOOKUP(D382,CategoryMap,2,0)</f>
        <v/>
      </c>
      <c r="G382">
        <f>ABS(E382-F382)</f>
        <v/>
      </c>
      <c r="H382">
        <f>IF(G382=0,"Yes","No")</f>
        <v/>
      </c>
      <c r="I382" t="inlineStr">
        <is>
          <t>Partial</t>
        </is>
      </c>
      <c r="J382">
        <f>IF(I382="","",IF(AND(I382=C382,I382=D382),"Both",IF(I382=C382,"Opus",IF(I382=D382,"Sonnet","Neither"))))</f>
        <v/>
      </c>
    </row>
    <row r="383">
      <c r="A383" t="inlineStr">
        <is>
          <t>R132</t>
        </is>
      </c>
      <c r="B383" t="inlineStr">
        <is>
          <t>Q6</t>
        </is>
      </c>
      <c r="C383" t="inlineStr">
        <is>
          <t>Partial</t>
        </is>
      </c>
      <c r="D383" t="inlineStr">
        <is>
          <t>No</t>
        </is>
      </c>
      <c r="E383">
        <f>VLOOKUP(C383,CategoryMap,2,0)</f>
        <v/>
      </c>
      <c r="F383">
        <f>VLOOKUP(D383,CategoryMap,2,0)</f>
        <v/>
      </c>
      <c r="G383">
        <f>ABS(E383-F383)</f>
        <v/>
      </c>
      <c r="H383">
        <f>IF(G383=0,"Yes","No")</f>
        <v/>
      </c>
      <c r="I383" t="inlineStr">
        <is>
          <t>No</t>
        </is>
      </c>
      <c r="J383">
        <f>IF(I383="","",IF(AND(I383=C383,I383=D383),"Both",IF(I383=C383,"Opus",IF(I383=D383,"Sonnet","Neither"))))</f>
        <v/>
      </c>
    </row>
    <row r="384">
      <c r="A384" t="inlineStr">
        <is>
          <t>R132</t>
        </is>
      </c>
      <c r="B384" t="inlineStr">
        <is>
          <t>Q7</t>
        </is>
      </c>
      <c r="C384" t="inlineStr">
        <is>
          <t>Partial</t>
        </is>
      </c>
      <c r="D384" t="inlineStr">
        <is>
          <t>Yes</t>
        </is>
      </c>
      <c r="E384">
        <f>VLOOKUP(C384,CategoryMap,2,0)</f>
        <v/>
      </c>
      <c r="F384">
        <f>VLOOKUP(D384,CategoryMap,2,0)</f>
        <v/>
      </c>
      <c r="G384">
        <f>ABS(E384-F384)</f>
        <v/>
      </c>
      <c r="H384">
        <f>IF(G384=0,"Yes","No")</f>
        <v/>
      </c>
      <c r="I384" t="inlineStr">
        <is>
          <t>Yes</t>
        </is>
      </c>
      <c r="J384">
        <f>IF(I384="","",IF(AND(I384=C384,I384=D384),"Both",IF(I384=C384,"Opus",IF(I384=D384,"Sonnet","Neither"))))</f>
        <v/>
      </c>
    </row>
    <row r="385">
      <c r="A385" t="inlineStr">
        <is>
          <t>R132</t>
        </is>
      </c>
      <c r="B385" t="inlineStr">
        <is>
          <t>Q8</t>
        </is>
      </c>
      <c r="C385" t="inlineStr">
        <is>
          <t>Partial</t>
        </is>
      </c>
      <c r="D385" t="inlineStr">
        <is>
          <t>No</t>
        </is>
      </c>
      <c r="E385">
        <f>VLOOKUP(C385,CategoryMap,2,0)</f>
        <v/>
      </c>
      <c r="F385">
        <f>VLOOKUP(D385,CategoryMap,2,0)</f>
        <v/>
      </c>
      <c r="G385">
        <f>ABS(E385-F385)</f>
        <v/>
      </c>
      <c r="H385">
        <f>IF(G385=0,"Yes","No")</f>
        <v/>
      </c>
      <c r="I385" t="inlineStr">
        <is>
          <t>No</t>
        </is>
      </c>
      <c r="J385">
        <f>IF(I385="","",IF(AND(I385=C385,I385=D385),"Both",IF(I385=C385,"Opus",IF(I385=D385,"Sonnet","Neither"))))</f>
        <v/>
      </c>
    </row>
    <row r="386">
      <c r="A386" t="inlineStr">
        <is>
          <t>R134</t>
        </is>
      </c>
      <c r="B386" t="inlineStr">
        <is>
          <t>Q1</t>
        </is>
      </c>
      <c r="C386" t="inlineStr">
        <is>
          <t>No</t>
        </is>
      </c>
      <c r="D386" t="inlineStr">
        <is>
          <t>No</t>
        </is>
      </c>
      <c r="E386">
        <f>VLOOKUP(C386,CategoryMap,2,0)</f>
        <v/>
      </c>
      <c r="F386">
        <f>VLOOKUP(D386,CategoryMap,2,0)</f>
        <v/>
      </c>
      <c r="G386">
        <f>ABS(E386-F386)</f>
        <v/>
      </c>
      <c r="H386">
        <f>IF(G386=0,"Yes","No")</f>
        <v/>
      </c>
      <c r="I386" t="inlineStr">
        <is>
          <t>No</t>
        </is>
      </c>
      <c r="J386">
        <f>IF(I386="","",IF(AND(I386=C386,I386=D386),"Both",IF(I386=C386,"Opus",IF(I386=D386,"Sonnet","Neither"))))</f>
        <v/>
      </c>
    </row>
    <row r="387">
      <c r="A387" t="inlineStr">
        <is>
          <t>R134</t>
        </is>
      </c>
      <c r="B387" t="inlineStr">
        <is>
          <t>Q2</t>
        </is>
      </c>
      <c r="C387" t="inlineStr">
        <is>
          <t>Partial</t>
        </is>
      </c>
      <c r="D387" t="inlineStr">
        <is>
          <t>No</t>
        </is>
      </c>
      <c r="E387">
        <f>VLOOKUP(C387,CategoryMap,2,0)</f>
        <v/>
      </c>
      <c r="F387">
        <f>VLOOKUP(D387,CategoryMap,2,0)</f>
        <v/>
      </c>
      <c r="G387">
        <f>ABS(E387-F387)</f>
        <v/>
      </c>
      <c r="H387">
        <f>IF(G387=0,"Yes","No")</f>
        <v/>
      </c>
      <c r="I387" t="inlineStr">
        <is>
          <t>No</t>
        </is>
      </c>
      <c r="J387">
        <f>IF(I387="","",IF(AND(I387=C387,I387=D387),"Both",IF(I387=C387,"Opus",IF(I387=D387,"Sonnet","Neither"))))</f>
        <v/>
      </c>
    </row>
    <row r="388">
      <c r="A388" t="inlineStr">
        <is>
          <t>R134</t>
        </is>
      </c>
      <c r="B388" t="inlineStr">
        <is>
          <t>Q3</t>
        </is>
      </c>
      <c r="C388" t="inlineStr">
        <is>
          <t>Partial</t>
        </is>
      </c>
      <c r="D388" t="inlineStr">
        <is>
          <t>No</t>
        </is>
      </c>
      <c r="E388">
        <f>VLOOKUP(C388,CategoryMap,2,0)</f>
        <v/>
      </c>
      <c r="F388">
        <f>VLOOKUP(D388,CategoryMap,2,0)</f>
        <v/>
      </c>
      <c r="G388">
        <f>ABS(E388-F388)</f>
        <v/>
      </c>
      <c r="H388">
        <f>IF(G388=0,"Yes","No")</f>
        <v/>
      </c>
      <c r="I388" t="inlineStr">
        <is>
          <t>Partial</t>
        </is>
      </c>
      <c r="J388">
        <f>IF(I388="","",IF(AND(I388=C388,I388=D388),"Both",IF(I388=C388,"Opus",IF(I388=D388,"Sonnet","Neither"))))</f>
        <v/>
      </c>
    </row>
    <row r="389">
      <c r="A389" t="inlineStr">
        <is>
          <t>R134</t>
        </is>
      </c>
      <c r="B389" t="inlineStr">
        <is>
          <t>Q4</t>
        </is>
      </c>
      <c r="C389" t="inlineStr">
        <is>
          <t>Partial</t>
        </is>
      </c>
      <c r="D389" t="inlineStr">
        <is>
          <t>Yes</t>
        </is>
      </c>
      <c r="E389">
        <f>VLOOKUP(C389,CategoryMap,2,0)</f>
        <v/>
      </c>
      <c r="F389">
        <f>VLOOKUP(D389,CategoryMap,2,0)</f>
        <v/>
      </c>
      <c r="G389">
        <f>ABS(E389-F389)</f>
        <v/>
      </c>
      <c r="H389">
        <f>IF(G389=0,"Yes","No")</f>
        <v/>
      </c>
      <c r="I389" t="inlineStr">
        <is>
          <t>Partial</t>
        </is>
      </c>
      <c r="J389">
        <f>IF(I389="","",IF(AND(I389=C389,I389=D389),"Both",IF(I389=C389,"Opus",IF(I389=D389,"Sonnet","Neither"))))</f>
        <v/>
      </c>
    </row>
    <row r="390">
      <c r="A390" t="inlineStr">
        <is>
          <t>R134</t>
        </is>
      </c>
      <c r="B390" t="inlineStr">
        <is>
          <t>Q5</t>
        </is>
      </c>
      <c r="C390" t="inlineStr">
        <is>
          <t>Yes</t>
        </is>
      </c>
      <c r="D390" t="inlineStr">
        <is>
          <t>Yes</t>
        </is>
      </c>
      <c r="E390">
        <f>VLOOKUP(C390,CategoryMap,2,0)</f>
        <v/>
      </c>
      <c r="F390">
        <f>VLOOKUP(D390,CategoryMap,2,0)</f>
        <v/>
      </c>
      <c r="G390">
        <f>ABS(E390-F390)</f>
        <v/>
      </c>
      <c r="H390">
        <f>IF(G390=0,"Yes","No")</f>
        <v/>
      </c>
      <c r="I390" t="inlineStr">
        <is>
          <t>Yes</t>
        </is>
      </c>
      <c r="J390">
        <f>IF(I390="","",IF(AND(I390=C390,I390=D390),"Both",IF(I390=C390,"Opus",IF(I390=D390,"Sonnet","Neither"))))</f>
        <v/>
      </c>
    </row>
    <row r="391">
      <c r="A391" t="inlineStr">
        <is>
          <t>R134</t>
        </is>
      </c>
      <c r="B391" t="inlineStr">
        <is>
          <t>Q6</t>
        </is>
      </c>
      <c r="C391" t="inlineStr">
        <is>
          <t>Yes</t>
        </is>
      </c>
      <c r="D391" t="inlineStr">
        <is>
          <t>Yes</t>
        </is>
      </c>
      <c r="E391">
        <f>VLOOKUP(C391,CategoryMap,2,0)</f>
        <v/>
      </c>
      <c r="F391">
        <f>VLOOKUP(D391,CategoryMap,2,0)</f>
        <v/>
      </c>
      <c r="G391">
        <f>ABS(E391-F391)</f>
        <v/>
      </c>
      <c r="H391">
        <f>IF(G391=0,"Yes","No")</f>
        <v/>
      </c>
      <c r="I391" t="inlineStr">
        <is>
          <t>Yes</t>
        </is>
      </c>
      <c r="J391">
        <f>IF(I391="","",IF(AND(I391=C391,I391=D391),"Both",IF(I391=C391,"Opus",IF(I391=D391,"Sonnet","Neither"))))</f>
        <v/>
      </c>
    </row>
    <row r="392">
      <c r="A392" t="inlineStr">
        <is>
          <t>R134</t>
        </is>
      </c>
      <c r="B392" t="inlineStr">
        <is>
          <t>Q7</t>
        </is>
      </c>
      <c r="C392" t="inlineStr">
        <is>
          <t>Yes</t>
        </is>
      </c>
      <c r="D392" t="inlineStr">
        <is>
          <t>Yes</t>
        </is>
      </c>
      <c r="E392">
        <f>VLOOKUP(C392,CategoryMap,2,0)</f>
        <v/>
      </c>
      <c r="F392">
        <f>VLOOKUP(D392,CategoryMap,2,0)</f>
        <v/>
      </c>
      <c r="G392">
        <f>ABS(E392-F392)</f>
        <v/>
      </c>
      <c r="H392">
        <f>IF(G392=0,"Yes","No")</f>
        <v/>
      </c>
      <c r="I392" t="inlineStr">
        <is>
          <t>Yes</t>
        </is>
      </c>
      <c r="J392">
        <f>IF(I392="","",IF(AND(I392=C392,I392=D392),"Both",IF(I392=C392,"Opus",IF(I392=D392,"Sonnet","Neither"))))</f>
        <v/>
      </c>
    </row>
    <row r="393">
      <c r="A393" t="inlineStr">
        <is>
          <t>R134</t>
        </is>
      </c>
      <c r="B393" t="inlineStr">
        <is>
          <t>Q8</t>
        </is>
      </c>
      <c r="C393" t="inlineStr">
        <is>
          <t>No</t>
        </is>
      </c>
      <c r="D393" t="inlineStr">
        <is>
          <t>No</t>
        </is>
      </c>
      <c r="E393">
        <f>VLOOKUP(C393,CategoryMap,2,0)</f>
        <v/>
      </c>
      <c r="F393">
        <f>VLOOKUP(D393,CategoryMap,2,0)</f>
        <v/>
      </c>
      <c r="G393">
        <f>ABS(E393-F393)</f>
        <v/>
      </c>
      <c r="H393">
        <f>IF(G393=0,"Yes","No")</f>
        <v/>
      </c>
      <c r="I393" t="inlineStr">
        <is>
          <t>No</t>
        </is>
      </c>
      <c r="J393">
        <f>IF(I393="","",IF(AND(I393=C393,I393=D393),"Both",IF(I393=C393,"Opus",IF(I393=D393,"Sonnet","Neither"))))</f>
        <v/>
      </c>
    </row>
    <row r="394">
      <c r="A394" t="inlineStr">
        <is>
          <t>R135</t>
        </is>
      </c>
      <c r="B394" t="inlineStr">
        <is>
          <t>Q1</t>
        </is>
      </c>
      <c r="C394" t="inlineStr">
        <is>
          <t>Partial</t>
        </is>
      </c>
      <c r="D394" t="inlineStr">
        <is>
          <t>No</t>
        </is>
      </c>
      <c r="E394">
        <f>VLOOKUP(C394,CategoryMap,2,0)</f>
        <v/>
      </c>
      <c r="F394">
        <f>VLOOKUP(D394,CategoryMap,2,0)</f>
        <v/>
      </c>
      <c r="G394">
        <f>ABS(E394-F394)</f>
        <v/>
      </c>
      <c r="H394">
        <f>IF(G394=0,"Yes","No")</f>
        <v/>
      </c>
      <c r="I394" t="inlineStr">
        <is>
          <t>No</t>
        </is>
      </c>
      <c r="J394">
        <f>IF(I394="","",IF(AND(I394=C394,I394=D394),"Both",IF(I394=C394,"Opus",IF(I394=D394,"Sonnet","Neither"))))</f>
        <v/>
      </c>
    </row>
    <row r="395">
      <c r="A395" t="inlineStr">
        <is>
          <t>R135</t>
        </is>
      </c>
      <c r="B395" t="inlineStr">
        <is>
          <t>Q2</t>
        </is>
      </c>
      <c r="C395" t="inlineStr">
        <is>
          <t>Partial</t>
        </is>
      </c>
      <c r="D395" t="inlineStr">
        <is>
          <t>No</t>
        </is>
      </c>
      <c r="E395">
        <f>VLOOKUP(C395,CategoryMap,2,0)</f>
        <v/>
      </c>
      <c r="F395">
        <f>VLOOKUP(D395,CategoryMap,2,0)</f>
        <v/>
      </c>
      <c r="G395">
        <f>ABS(E395-F395)</f>
        <v/>
      </c>
      <c r="H395">
        <f>IF(G395=0,"Yes","No")</f>
        <v/>
      </c>
      <c r="I395" t="inlineStr">
        <is>
          <t>No</t>
        </is>
      </c>
      <c r="J395">
        <f>IF(I395="","",IF(AND(I395=C395,I395=D395),"Both",IF(I395=C395,"Opus",IF(I395=D395,"Sonnet","Neither"))))</f>
        <v/>
      </c>
    </row>
    <row r="396">
      <c r="A396" t="inlineStr">
        <is>
          <t>R135</t>
        </is>
      </c>
      <c r="B396" t="inlineStr">
        <is>
          <t>Q3</t>
        </is>
      </c>
      <c r="C396" t="inlineStr">
        <is>
          <t>Yes</t>
        </is>
      </c>
      <c r="D396" t="inlineStr">
        <is>
          <t>No</t>
        </is>
      </c>
      <c r="E396">
        <f>VLOOKUP(C396,CategoryMap,2,0)</f>
        <v/>
      </c>
      <c r="F396">
        <f>VLOOKUP(D396,CategoryMap,2,0)</f>
        <v/>
      </c>
      <c r="G396">
        <f>ABS(E396-F396)</f>
        <v/>
      </c>
      <c r="H396">
        <f>IF(G396=0,"Yes","No")</f>
        <v/>
      </c>
      <c r="I396" t="inlineStr">
        <is>
          <t>Partial</t>
        </is>
      </c>
      <c r="J396">
        <f>IF(I396="","",IF(AND(I396=C396,I396=D396),"Both",IF(I396=C396,"Opus",IF(I396=D396,"Sonnet","Neither"))))</f>
        <v/>
      </c>
    </row>
    <row r="397">
      <c r="A397" t="inlineStr">
        <is>
          <t>R135</t>
        </is>
      </c>
      <c r="B397" t="inlineStr">
        <is>
          <t>Q4</t>
        </is>
      </c>
      <c r="C397" t="inlineStr">
        <is>
          <t>Partial</t>
        </is>
      </c>
      <c r="D397" t="inlineStr">
        <is>
          <t>Partial</t>
        </is>
      </c>
      <c r="E397">
        <f>VLOOKUP(C397,CategoryMap,2,0)</f>
        <v/>
      </c>
      <c r="F397">
        <f>VLOOKUP(D397,CategoryMap,2,0)</f>
        <v/>
      </c>
      <c r="G397">
        <f>ABS(E397-F397)</f>
        <v/>
      </c>
      <c r="H397">
        <f>IF(G397=0,"Yes","No")</f>
        <v/>
      </c>
      <c r="I397" t="inlineStr">
        <is>
          <t>Partial</t>
        </is>
      </c>
      <c r="J397">
        <f>IF(I397="","",IF(AND(I397=C397,I397=D397),"Both",IF(I397=C397,"Opus",IF(I397=D397,"Sonnet","Neither"))))</f>
        <v/>
      </c>
    </row>
    <row r="398">
      <c r="A398" t="inlineStr">
        <is>
          <t>R135</t>
        </is>
      </c>
      <c r="B398" t="inlineStr">
        <is>
          <t>Q5</t>
        </is>
      </c>
      <c r="C398" t="inlineStr">
        <is>
          <t>Yes</t>
        </is>
      </c>
      <c r="D398" t="inlineStr">
        <is>
          <t>Yes</t>
        </is>
      </c>
      <c r="E398">
        <f>VLOOKUP(C398,CategoryMap,2,0)</f>
        <v/>
      </c>
      <c r="F398">
        <f>VLOOKUP(D398,CategoryMap,2,0)</f>
        <v/>
      </c>
      <c r="G398">
        <f>ABS(E398-F398)</f>
        <v/>
      </c>
      <c r="H398">
        <f>IF(G398=0,"Yes","No")</f>
        <v/>
      </c>
      <c r="I398" t="inlineStr">
        <is>
          <t>Yes</t>
        </is>
      </c>
      <c r="J398">
        <f>IF(I398="","",IF(AND(I398=C398,I398=D398),"Both",IF(I398=C398,"Opus",IF(I398=D398,"Sonnet","Neither"))))</f>
        <v/>
      </c>
    </row>
    <row r="399">
      <c r="A399" t="inlineStr">
        <is>
          <t>R135</t>
        </is>
      </c>
      <c r="B399" t="inlineStr">
        <is>
          <t>Q6</t>
        </is>
      </c>
      <c r="C399" t="inlineStr">
        <is>
          <t>Yes</t>
        </is>
      </c>
      <c r="D399" t="inlineStr">
        <is>
          <t>Yes</t>
        </is>
      </c>
      <c r="E399">
        <f>VLOOKUP(C399,CategoryMap,2,0)</f>
        <v/>
      </c>
      <c r="F399">
        <f>VLOOKUP(D399,CategoryMap,2,0)</f>
        <v/>
      </c>
      <c r="G399">
        <f>ABS(E399-F399)</f>
        <v/>
      </c>
      <c r="H399">
        <f>IF(G399=0,"Yes","No")</f>
        <v/>
      </c>
      <c r="I399" t="inlineStr">
        <is>
          <t>Yes</t>
        </is>
      </c>
      <c r="J399">
        <f>IF(I399="","",IF(AND(I399=C399,I399=D399),"Both",IF(I399=C399,"Opus",IF(I399=D399,"Sonnet","Neither"))))</f>
        <v/>
      </c>
    </row>
    <row r="400">
      <c r="A400" t="inlineStr">
        <is>
          <t>R135</t>
        </is>
      </c>
      <c r="B400" t="inlineStr">
        <is>
          <t>Q7</t>
        </is>
      </c>
      <c r="C400" t="inlineStr">
        <is>
          <t>Yes</t>
        </is>
      </c>
      <c r="D400" t="inlineStr">
        <is>
          <t>Yes</t>
        </is>
      </c>
      <c r="E400">
        <f>VLOOKUP(C400,CategoryMap,2,0)</f>
        <v/>
      </c>
      <c r="F400">
        <f>VLOOKUP(D400,CategoryMap,2,0)</f>
        <v/>
      </c>
      <c r="G400">
        <f>ABS(E400-F400)</f>
        <v/>
      </c>
      <c r="H400">
        <f>IF(G400=0,"Yes","No")</f>
        <v/>
      </c>
      <c r="I400" t="inlineStr">
        <is>
          <t>Yes</t>
        </is>
      </c>
      <c r="J400">
        <f>IF(I400="","",IF(AND(I400=C400,I400=D400),"Both",IF(I400=C400,"Opus",IF(I400=D400,"Sonnet","Neither"))))</f>
        <v/>
      </c>
    </row>
    <row r="401">
      <c r="A401" t="inlineStr">
        <is>
          <t>R135</t>
        </is>
      </c>
      <c r="B401" t="inlineStr">
        <is>
          <t>Q8</t>
        </is>
      </c>
      <c r="C401" t="inlineStr">
        <is>
          <t>Partial</t>
        </is>
      </c>
      <c r="D401" t="inlineStr">
        <is>
          <t>No</t>
        </is>
      </c>
      <c r="E401">
        <f>VLOOKUP(C401,CategoryMap,2,0)</f>
        <v/>
      </c>
      <c r="F401">
        <f>VLOOKUP(D401,CategoryMap,2,0)</f>
        <v/>
      </c>
      <c r="G401">
        <f>ABS(E401-F401)</f>
        <v/>
      </c>
      <c r="H401">
        <f>IF(G401=0,"Yes","No")</f>
        <v/>
      </c>
      <c r="I401" t="inlineStr">
        <is>
          <t>Partial</t>
        </is>
      </c>
      <c r="J401">
        <f>IF(I401="","",IF(AND(I401=C401,I401=D401),"Both",IF(I401=C401,"Opus",IF(I401=D401,"Sonnet","Neither"))))</f>
        <v/>
      </c>
    </row>
    <row r="402">
      <c r="A402" t="inlineStr">
        <is>
          <t>R136</t>
        </is>
      </c>
      <c r="B402" t="inlineStr">
        <is>
          <t>Q1</t>
        </is>
      </c>
      <c r="C402" t="inlineStr">
        <is>
          <t>Partial</t>
        </is>
      </c>
      <c r="D402" t="inlineStr">
        <is>
          <t>No</t>
        </is>
      </c>
      <c r="E402">
        <f>VLOOKUP(C402,CategoryMap,2,0)</f>
        <v/>
      </c>
      <c r="F402">
        <f>VLOOKUP(D402,CategoryMap,2,0)</f>
        <v/>
      </c>
      <c r="G402">
        <f>ABS(E402-F402)</f>
        <v/>
      </c>
      <c r="H402">
        <f>IF(G402=0,"Yes","No")</f>
        <v/>
      </c>
      <c r="I402" t="inlineStr">
        <is>
          <t>No</t>
        </is>
      </c>
      <c r="J402">
        <f>IF(I402="","",IF(AND(I402=C402,I402=D402),"Both",IF(I402=C402,"Opus",IF(I402=D402,"Sonnet","Neither"))))</f>
        <v/>
      </c>
    </row>
    <row r="403">
      <c r="A403" t="inlineStr">
        <is>
          <t>R136</t>
        </is>
      </c>
      <c r="B403" t="inlineStr">
        <is>
          <t>Q2</t>
        </is>
      </c>
      <c r="C403" t="inlineStr">
        <is>
          <t>Partial</t>
        </is>
      </c>
      <c r="D403" t="inlineStr">
        <is>
          <t>Partial</t>
        </is>
      </c>
      <c r="E403">
        <f>VLOOKUP(C403,CategoryMap,2,0)</f>
        <v/>
      </c>
      <c r="F403">
        <f>VLOOKUP(D403,CategoryMap,2,0)</f>
        <v/>
      </c>
      <c r="G403">
        <f>ABS(E403-F403)</f>
        <v/>
      </c>
      <c r="H403">
        <f>IF(G403=0,"Yes","No")</f>
        <v/>
      </c>
      <c r="I403" t="inlineStr">
        <is>
          <t>Partial</t>
        </is>
      </c>
      <c r="J403">
        <f>IF(I403="","",IF(AND(I403=C403,I403=D403),"Both",IF(I403=C403,"Opus",IF(I403=D403,"Sonnet","Neither"))))</f>
        <v/>
      </c>
    </row>
    <row r="404">
      <c r="A404" t="inlineStr">
        <is>
          <t>R136</t>
        </is>
      </c>
      <c r="B404" t="inlineStr">
        <is>
          <t>Q3</t>
        </is>
      </c>
      <c r="C404" t="inlineStr">
        <is>
          <t>Partial</t>
        </is>
      </c>
      <c r="D404" t="inlineStr">
        <is>
          <t>No</t>
        </is>
      </c>
      <c r="E404">
        <f>VLOOKUP(C404,CategoryMap,2,0)</f>
        <v/>
      </c>
      <c r="F404">
        <f>VLOOKUP(D404,CategoryMap,2,0)</f>
        <v/>
      </c>
      <c r="G404">
        <f>ABS(E404-F404)</f>
        <v/>
      </c>
      <c r="H404">
        <f>IF(G404=0,"Yes","No")</f>
        <v/>
      </c>
      <c r="I404" t="inlineStr">
        <is>
          <t>No</t>
        </is>
      </c>
      <c r="J404">
        <f>IF(I404="","",IF(AND(I404=C404,I404=D404),"Both",IF(I404=C404,"Opus",IF(I404=D404,"Sonnet","Neither"))))</f>
        <v/>
      </c>
    </row>
    <row r="405">
      <c r="A405" t="inlineStr">
        <is>
          <t>R136</t>
        </is>
      </c>
      <c r="B405" t="inlineStr">
        <is>
          <t>Q4</t>
        </is>
      </c>
      <c r="C405" t="inlineStr">
        <is>
          <t>No</t>
        </is>
      </c>
      <c r="D405" t="inlineStr">
        <is>
          <t>Partial</t>
        </is>
      </c>
      <c r="E405">
        <f>VLOOKUP(C405,CategoryMap,2,0)</f>
        <v/>
      </c>
      <c r="F405">
        <f>VLOOKUP(D405,CategoryMap,2,0)</f>
        <v/>
      </c>
      <c r="G405">
        <f>ABS(E405-F405)</f>
        <v/>
      </c>
      <c r="H405">
        <f>IF(G405=0,"Yes","No")</f>
        <v/>
      </c>
      <c r="I405" t="inlineStr">
        <is>
          <t>No</t>
        </is>
      </c>
      <c r="J405">
        <f>IF(I405="","",IF(AND(I405=C405,I405=D405),"Both",IF(I405=C405,"Opus",IF(I405=D405,"Sonnet","Neither"))))</f>
        <v/>
      </c>
    </row>
    <row r="406">
      <c r="A406" t="inlineStr">
        <is>
          <t>R136</t>
        </is>
      </c>
      <c r="B406" t="inlineStr">
        <is>
          <t>Q5</t>
        </is>
      </c>
      <c r="C406" t="inlineStr">
        <is>
          <t>Partial</t>
        </is>
      </c>
      <c r="D406" t="inlineStr">
        <is>
          <t>Partial</t>
        </is>
      </c>
      <c r="E406">
        <f>VLOOKUP(C406,CategoryMap,2,0)</f>
        <v/>
      </c>
      <c r="F406">
        <f>VLOOKUP(D406,CategoryMap,2,0)</f>
        <v/>
      </c>
      <c r="G406">
        <f>ABS(E406-F406)</f>
        <v/>
      </c>
      <c r="H406">
        <f>IF(G406=0,"Yes","No")</f>
        <v/>
      </c>
      <c r="I406" t="inlineStr">
        <is>
          <t>Partial</t>
        </is>
      </c>
      <c r="J406">
        <f>IF(I406="","",IF(AND(I406=C406,I406=D406),"Both",IF(I406=C406,"Opus",IF(I406=D406,"Sonnet","Neither"))))</f>
        <v/>
      </c>
    </row>
    <row r="407">
      <c r="A407" t="inlineStr">
        <is>
          <t>R136</t>
        </is>
      </c>
      <c r="B407" t="inlineStr">
        <is>
          <t>Q6</t>
        </is>
      </c>
      <c r="C407" t="inlineStr">
        <is>
          <t>Partial</t>
        </is>
      </c>
      <c r="D407" t="inlineStr">
        <is>
          <t>Yes</t>
        </is>
      </c>
      <c r="E407">
        <f>VLOOKUP(C407,CategoryMap,2,0)</f>
        <v/>
      </c>
      <c r="F407">
        <f>VLOOKUP(D407,CategoryMap,2,0)</f>
        <v/>
      </c>
      <c r="G407">
        <f>ABS(E407-F407)</f>
        <v/>
      </c>
      <c r="H407">
        <f>IF(G407=0,"Yes","No")</f>
        <v/>
      </c>
      <c r="I407" t="inlineStr">
        <is>
          <t>Partial</t>
        </is>
      </c>
      <c r="J407">
        <f>IF(I407="","",IF(AND(I407=C407,I407=D407),"Both",IF(I407=C407,"Opus",IF(I407=D407,"Sonnet","Neither"))))</f>
        <v/>
      </c>
    </row>
    <row r="408">
      <c r="A408" t="inlineStr">
        <is>
          <t>R136</t>
        </is>
      </c>
      <c r="B408" t="inlineStr">
        <is>
          <t>Q7</t>
        </is>
      </c>
      <c r="C408" t="inlineStr">
        <is>
          <t>No</t>
        </is>
      </c>
      <c r="D408" t="inlineStr">
        <is>
          <t>No</t>
        </is>
      </c>
      <c r="E408">
        <f>VLOOKUP(C408,CategoryMap,2,0)</f>
        <v/>
      </c>
      <c r="F408">
        <f>VLOOKUP(D408,CategoryMap,2,0)</f>
        <v/>
      </c>
      <c r="G408">
        <f>ABS(E408-F408)</f>
        <v/>
      </c>
      <c r="H408">
        <f>IF(G408=0,"Yes","No")</f>
        <v/>
      </c>
      <c r="I408" t="inlineStr">
        <is>
          <t>No</t>
        </is>
      </c>
      <c r="J408">
        <f>IF(I408="","",IF(AND(I408=C408,I408=D408),"Both",IF(I408=C408,"Opus",IF(I408=D408,"Sonnet","Neither"))))</f>
        <v/>
      </c>
    </row>
    <row r="409">
      <c r="A409" t="inlineStr">
        <is>
          <t>R136</t>
        </is>
      </c>
      <c r="B409" t="inlineStr">
        <is>
          <t>Q8</t>
        </is>
      </c>
      <c r="C409" t="inlineStr">
        <is>
          <t>Partial</t>
        </is>
      </c>
      <c r="D409" t="inlineStr">
        <is>
          <t>No</t>
        </is>
      </c>
      <c r="E409">
        <f>VLOOKUP(C409,CategoryMap,2,0)</f>
        <v/>
      </c>
      <c r="F409">
        <f>VLOOKUP(D409,CategoryMap,2,0)</f>
        <v/>
      </c>
      <c r="G409">
        <f>ABS(E409-F409)</f>
        <v/>
      </c>
      <c r="H409">
        <f>IF(G409=0,"Yes","No")</f>
        <v/>
      </c>
      <c r="I409" t="inlineStr">
        <is>
          <t>Partial</t>
        </is>
      </c>
      <c r="J409">
        <f>IF(I409="","",IF(AND(I409=C409,I409=D409),"Both",IF(I409=C409,"Opus",IF(I409=D409,"Sonnet","Neither"))))</f>
        <v/>
      </c>
    </row>
    <row r="410">
      <c r="A410" t="inlineStr">
        <is>
          <t>R137</t>
        </is>
      </c>
      <c r="B410" t="inlineStr">
        <is>
          <t>Q1</t>
        </is>
      </c>
      <c r="C410" t="inlineStr">
        <is>
          <t>Partial</t>
        </is>
      </c>
      <c r="D410" t="inlineStr">
        <is>
          <t>No</t>
        </is>
      </c>
      <c r="E410">
        <f>VLOOKUP(C410,CategoryMap,2,0)</f>
        <v/>
      </c>
      <c r="F410">
        <f>VLOOKUP(D410,CategoryMap,2,0)</f>
        <v/>
      </c>
      <c r="G410">
        <f>ABS(E410-F410)</f>
        <v/>
      </c>
      <c r="H410">
        <f>IF(G410=0,"Yes","No")</f>
        <v/>
      </c>
      <c r="I410" t="inlineStr">
        <is>
          <t>Partial</t>
        </is>
      </c>
      <c r="J410">
        <f>IF(I410="","",IF(AND(I410=C410,I410=D410),"Both",IF(I410=C410,"Opus",IF(I410=D410,"Sonnet","Neither"))))</f>
        <v/>
      </c>
    </row>
    <row r="411">
      <c r="A411" t="inlineStr">
        <is>
          <t>R137</t>
        </is>
      </c>
      <c r="B411" t="inlineStr">
        <is>
          <t>Q2</t>
        </is>
      </c>
      <c r="C411" t="inlineStr">
        <is>
          <t>Partial</t>
        </is>
      </c>
      <c r="D411" t="inlineStr">
        <is>
          <t>No</t>
        </is>
      </c>
      <c r="E411">
        <f>VLOOKUP(C411,CategoryMap,2,0)</f>
        <v/>
      </c>
      <c r="F411">
        <f>VLOOKUP(D411,CategoryMap,2,0)</f>
        <v/>
      </c>
      <c r="G411">
        <f>ABS(E411-F411)</f>
        <v/>
      </c>
      <c r="H411">
        <f>IF(G411=0,"Yes","No")</f>
        <v/>
      </c>
      <c r="I411" t="inlineStr">
        <is>
          <t>No</t>
        </is>
      </c>
      <c r="J411">
        <f>IF(I411="","",IF(AND(I411=C411,I411=D411),"Both",IF(I411=C411,"Opus",IF(I411=D411,"Sonnet","Neither"))))</f>
        <v/>
      </c>
    </row>
    <row r="412">
      <c r="A412" t="inlineStr">
        <is>
          <t>R137</t>
        </is>
      </c>
      <c r="B412" t="inlineStr">
        <is>
          <t>Q3</t>
        </is>
      </c>
      <c r="C412" t="inlineStr">
        <is>
          <t>Yes</t>
        </is>
      </c>
      <c r="D412" t="inlineStr">
        <is>
          <t>Partial</t>
        </is>
      </c>
      <c r="E412">
        <f>VLOOKUP(C412,CategoryMap,2,0)</f>
        <v/>
      </c>
      <c r="F412">
        <f>VLOOKUP(D412,CategoryMap,2,0)</f>
        <v/>
      </c>
      <c r="G412">
        <f>ABS(E412-F412)</f>
        <v/>
      </c>
      <c r="H412">
        <f>IF(G412=0,"Yes","No")</f>
        <v/>
      </c>
      <c r="I412" t="inlineStr">
        <is>
          <t>Partial</t>
        </is>
      </c>
      <c r="J412">
        <f>IF(I412="","",IF(AND(I412=C412,I412=D412),"Both",IF(I412=C412,"Opus",IF(I412=D412,"Sonnet","Neither"))))</f>
        <v/>
      </c>
    </row>
    <row r="413">
      <c r="A413" t="inlineStr">
        <is>
          <t>R137</t>
        </is>
      </c>
      <c r="B413" t="inlineStr">
        <is>
          <t>Q4</t>
        </is>
      </c>
      <c r="C413" t="inlineStr">
        <is>
          <t>Partial</t>
        </is>
      </c>
      <c r="D413" t="inlineStr">
        <is>
          <t>Yes</t>
        </is>
      </c>
      <c r="E413">
        <f>VLOOKUP(C413,CategoryMap,2,0)</f>
        <v/>
      </c>
      <c r="F413">
        <f>VLOOKUP(D413,CategoryMap,2,0)</f>
        <v/>
      </c>
      <c r="G413">
        <f>ABS(E413-F413)</f>
        <v/>
      </c>
      <c r="H413">
        <f>IF(G413=0,"Yes","No")</f>
        <v/>
      </c>
      <c r="I413" t="inlineStr">
        <is>
          <t>Partial</t>
        </is>
      </c>
      <c r="J413">
        <f>IF(I413="","",IF(AND(I413=C413,I413=D413),"Both",IF(I413=C413,"Opus",IF(I413=D413,"Sonnet","Neither"))))</f>
        <v/>
      </c>
    </row>
    <row r="414">
      <c r="A414" t="inlineStr">
        <is>
          <t>R137</t>
        </is>
      </c>
      <c r="B414" t="inlineStr">
        <is>
          <t>Q5</t>
        </is>
      </c>
      <c r="C414" t="inlineStr">
        <is>
          <t>No</t>
        </is>
      </c>
      <c r="D414" t="inlineStr">
        <is>
          <t>No</t>
        </is>
      </c>
      <c r="E414">
        <f>VLOOKUP(C414,CategoryMap,2,0)</f>
        <v/>
      </c>
      <c r="F414">
        <f>VLOOKUP(D414,CategoryMap,2,0)</f>
        <v/>
      </c>
      <c r="G414">
        <f>ABS(E414-F414)</f>
        <v/>
      </c>
      <c r="H414">
        <f>IF(G414=0,"Yes","No")</f>
        <v/>
      </c>
      <c r="I414" t="inlineStr">
        <is>
          <t>No</t>
        </is>
      </c>
      <c r="J414">
        <f>IF(I414="","",IF(AND(I414=C414,I414=D414),"Both",IF(I414=C414,"Opus",IF(I414=D414,"Sonnet","Neither"))))</f>
        <v/>
      </c>
    </row>
    <row r="415">
      <c r="A415" t="inlineStr">
        <is>
          <t>R137</t>
        </is>
      </c>
      <c r="B415" t="inlineStr">
        <is>
          <t>Q6</t>
        </is>
      </c>
      <c r="C415" t="inlineStr">
        <is>
          <t>No</t>
        </is>
      </c>
      <c r="D415" t="inlineStr">
        <is>
          <t>No</t>
        </is>
      </c>
      <c r="E415">
        <f>VLOOKUP(C415,CategoryMap,2,0)</f>
        <v/>
      </c>
      <c r="F415">
        <f>VLOOKUP(D415,CategoryMap,2,0)</f>
        <v/>
      </c>
      <c r="G415">
        <f>ABS(E415-F415)</f>
        <v/>
      </c>
      <c r="H415">
        <f>IF(G415=0,"Yes","No")</f>
        <v/>
      </c>
      <c r="I415" t="inlineStr">
        <is>
          <t>No</t>
        </is>
      </c>
      <c r="J415">
        <f>IF(I415="","",IF(AND(I415=C415,I415=D415),"Both",IF(I415=C415,"Opus",IF(I415=D415,"Sonnet","Neither"))))</f>
        <v/>
      </c>
    </row>
    <row r="416">
      <c r="A416" t="inlineStr">
        <is>
          <t>R137</t>
        </is>
      </c>
      <c r="B416" t="inlineStr">
        <is>
          <t>Q7</t>
        </is>
      </c>
      <c r="C416" t="inlineStr">
        <is>
          <t>No</t>
        </is>
      </c>
      <c r="D416" t="inlineStr">
        <is>
          <t>No</t>
        </is>
      </c>
      <c r="E416">
        <f>VLOOKUP(C416,CategoryMap,2,0)</f>
        <v/>
      </c>
      <c r="F416">
        <f>VLOOKUP(D416,CategoryMap,2,0)</f>
        <v/>
      </c>
      <c r="G416">
        <f>ABS(E416-F416)</f>
        <v/>
      </c>
      <c r="H416">
        <f>IF(G416=0,"Yes","No")</f>
        <v/>
      </c>
      <c r="I416" t="inlineStr">
        <is>
          <t>No</t>
        </is>
      </c>
      <c r="J416">
        <f>IF(I416="","",IF(AND(I416=C416,I416=D416),"Both",IF(I416=C416,"Opus",IF(I416=D416,"Sonnet","Neither"))))</f>
        <v/>
      </c>
    </row>
    <row r="417">
      <c r="A417" t="inlineStr">
        <is>
          <t>R137</t>
        </is>
      </c>
      <c r="B417" t="inlineStr">
        <is>
          <t>Q8</t>
        </is>
      </c>
      <c r="C417" t="inlineStr">
        <is>
          <t>Partial</t>
        </is>
      </c>
      <c r="D417" t="inlineStr">
        <is>
          <t>No</t>
        </is>
      </c>
      <c r="E417">
        <f>VLOOKUP(C417,CategoryMap,2,0)</f>
        <v/>
      </c>
      <c r="F417">
        <f>VLOOKUP(D417,CategoryMap,2,0)</f>
        <v/>
      </c>
      <c r="G417">
        <f>ABS(E417-F417)</f>
        <v/>
      </c>
      <c r="H417">
        <f>IF(G417=0,"Yes","No")</f>
        <v/>
      </c>
      <c r="I417" t="inlineStr">
        <is>
          <t>Partial</t>
        </is>
      </c>
      <c r="J417">
        <f>IF(I417="","",IF(AND(I417=C417,I417=D417),"Both",IF(I417=C417,"Opus",IF(I417=D417,"Sonnet","Neither"))))</f>
        <v/>
      </c>
    </row>
    <row r="418">
      <c r="A418" t="inlineStr">
        <is>
          <t>R138</t>
        </is>
      </c>
      <c r="B418" t="inlineStr">
        <is>
          <t>Q1</t>
        </is>
      </c>
      <c r="C418" t="inlineStr">
        <is>
          <t>Yes</t>
        </is>
      </c>
      <c r="D418" t="inlineStr">
        <is>
          <t>Partial</t>
        </is>
      </c>
      <c r="E418">
        <f>VLOOKUP(C418,CategoryMap,2,0)</f>
        <v/>
      </c>
      <c r="F418">
        <f>VLOOKUP(D418,CategoryMap,2,0)</f>
        <v/>
      </c>
      <c r="G418">
        <f>ABS(E418-F418)</f>
        <v/>
      </c>
      <c r="H418">
        <f>IF(G418=0,"Yes","No")</f>
        <v/>
      </c>
      <c r="I418" t="inlineStr">
        <is>
          <t>Yes</t>
        </is>
      </c>
      <c r="J418">
        <f>IF(I418="","",IF(AND(I418=C418,I418=D418),"Both",IF(I418=C418,"Opus",IF(I418=D418,"Sonnet","Neither"))))</f>
        <v/>
      </c>
    </row>
    <row r="419">
      <c r="A419" t="inlineStr">
        <is>
          <t>R138</t>
        </is>
      </c>
      <c r="B419" t="inlineStr">
        <is>
          <t>Q2</t>
        </is>
      </c>
      <c r="C419" t="inlineStr">
        <is>
          <t>Yes</t>
        </is>
      </c>
      <c r="D419" t="inlineStr">
        <is>
          <t>Yes</t>
        </is>
      </c>
      <c r="E419">
        <f>VLOOKUP(C419,CategoryMap,2,0)</f>
        <v/>
      </c>
      <c r="F419">
        <f>VLOOKUP(D419,CategoryMap,2,0)</f>
        <v/>
      </c>
      <c r="G419">
        <f>ABS(E419-F419)</f>
        <v/>
      </c>
      <c r="H419">
        <f>IF(G419=0,"Yes","No")</f>
        <v/>
      </c>
      <c r="I419" t="inlineStr">
        <is>
          <t>Yes</t>
        </is>
      </c>
      <c r="J419">
        <f>IF(I419="","",IF(AND(I419=C419,I419=D419),"Both",IF(I419=C419,"Opus",IF(I419=D419,"Sonnet","Neither"))))</f>
        <v/>
      </c>
    </row>
    <row r="420">
      <c r="A420" t="inlineStr">
        <is>
          <t>R138</t>
        </is>
      </c>
      <c r="B420" t="inlineStr">
        <is>
          <t>Q3</t>
        </is>
      </c>
      <c r="C420" t="inlineStr">
        <is>
          <t>Yes</t>
        </is>
      </c>
      <c r="D420" t="inlineStr">
        <is>
          <t>Yes</t>
        </is>
      </c>
      <c r="E420">
        <f>VLOOKUP(C420,CategoryMap,2,0)</f>
        <v/>
      </c>
      <c r="F420">
        <f>VLOOKUP(D420,CategoryMap,2,0)</f>
        <v/>
      </c>
      <c r="G420">
        <f>ABS(E420-F420)</f>
        <v/>
      </c>
      <c r="H420">
        <f>IF(G420=0,"Yes","No")</f>
        <v/>
      </c>
      <c r="I420" t="inlineStr">
        <is>
          <t>Yes</t>
        </is>
      </c>
      <c r="J420">
        <f>IF(I420="","",IF(AND(I420=C420,I420=D420),"Both",IF(I420=C420,"Opus",IF(I420=D420,"Sonnet","Neither"))))</f>
        <v/>
      </c>
    </row>
    <row r="421">
      <c r="A421" t="inlineStr">
        <is>
          <t>R138</t>
        </is>
      </c>
      <c r="B421" t="inlineStr">
        <is>
          <t>Q4</t>
        </is>
      </c>
      <c r="C421" t="inlineStr">
        <is>
          <t>Partial</t>
        </is>
      </c>
      <c r="D421" t="inlineStr">
        <is>
          <t>Partial</t>
        </is>
      </c>
      <c r="E421">
        <f>VLOOKUP(C421,CategoryMap,2,0)</f>
        <v/>
      </c>
      <c r="F421">
        <f>VLOOKUP(D421,CategoryMap,2,0)</f>
        <v/>
      </c>
      <c r="G421">
        <f>ABS(E421-F421)</f>
        <v/>
      </c>
      <c r="H421">
        <f>IF(G421=0,"Yes","No")</f>
        <v/>
      </c>
      <c r="I421" t="inlineStr">
        <is>
          <t>Partial</t>
        </is>
      </c>
      <c r="J421">
        <f>IF(I421="","",IF(AND(I421=C421,I421=D421),"Both",IF(I421=C421,"Opus",IF(I421=D421,"Sonnet","Neither"))))</f>
        <v/>
      </c>
    </row>
    <row r="422">
      <c r="A422" t="inlineStr">
        <is>
          <t>R138</t>
        </is>
      </c>
      <c r="B422" t="inlineStr">
        <is>
          <t>Q5</t>
        </is>
      </c>
      <c r="C422" t="inlineStr">
        <is>
          <t>Yes</t>
        </is>
      </c>
      <c r="D422" t="inlineStr">
        <is>
          <t>Yes</t>
        </is>
      </c>
      <c r="E422">
        <f>VLOOKUP(C422,CategoryMap,2,0)</f>
        <v/>
      </c>
      <c r="F422">
        <f>VLOOKUP(D422,CategoryMap,2,0)</f>
        <v/>
      </c>
      <c r="G422">
        <f>ABS(E422-F422)</f>
        <v/>
      </c>
      <c r="H422">
        <f>IF(G422=0,"Yes","No")</f>
        <v/>
      </c>
      <c r="I422" t="inlineStr">
        <is>
          <t>Yes</t>
        </is>
      </c>
      <c r="J422">
        <f>IF(I422="","",IF(AND(I422=C422,I422=D422),"Both",IF(I422=C422,"Opus",IF(I422=D422,"Sonnet","Neither"))))</f>
        <v/>
      </c>
    </row>
    <row r="423">
      <c r="A423" t="inlineStr">
        <is>
          <t>R138</t>
        </is>
      </c>
      <c r="B423" t="inlineStr">
        <is>
          <t>Q6</t>
        </is>
      </c>
      <c r="C423" t="inlineStr">
        <is>
          <t>Partial</t>
        </is>
      </c>
      <c r="D423" t="inlineStr">
        <is>
          <t>Yes</t>
        </is>
      </c>
      <c r="E423">
        <f>VLOOKUP(C423,CategoryMap,2,0)</f>
        <v/>
      </c>
      <c r="F423">
        <f>VLOOKUP(D423,CategoryMap,2,0)</f>
        <v/>
      </c>
      <c r="G423">
        <f>ABS(E423-F423)</f>
        <v/>
      </c>
      <c r="H423">
        <f>IF(G423=0,"Yes","No")</f>
        <v/>
      </c>
      <c r="I423" t="inlineStr">
        <is>
          <t>Partial</t>
        </is>
      </c>
      <c r="J423">
        <f>IF(I423="","",IF(AND(I423=C423,I423=D423),"Both",IF(I423=C423,"Opus",IF(I423=D423,"Sonnet","Neither"))))</f>
        <v/>
      </c>
    </row>
    <row r="424">
      <c r="A424" t="inlineStr">
        <is>
          <t>R138</t>
        </is>
      </c>
      <c r="B424" t="inlineStr">
        <is>
          <t>Q7</t>
        </is>
      </c>
      <c r="C424" t="inlineStr">
        <is>
          <t>Partial</t>
        </is>
      </c>
      <c r="D424" t="inlineStr">
        <is>
          <t>Partial</t>
        </is>
      </c>
      <c r="E424">
        <f>VLOOKUP(C424,CategoryMap,2,0)</f>
        <v/>
      </c>
      <c r="F424">
        <f>VLOOKUP(D424,CategoryMap,2,0)</f>
        <v/>
      </c>
      <c r="G424">
        <f>ABS(E424-F424)</f>
        <v/>
      </c>
      <c r="H424">
        <f>IF(G424=0,"Yes","No")</f>
        <v/>
      </c>
      <c r="I424" t="inlineStr">
        <is>
          <t>Partial</t>
        </is>
      </c>
      <c r="J424">
        <f>IF(I424="","",IF(AND(I424=C424,I424=D424),"Both",IF(I424=C424,"Opus",IF(I424=D424,"Sonnet","Neither"))))</f>
        <v/>
      </c>
    </row>
    <row r="425">
      <c r="A425" t="inlineStr">
        <is>
          <t>R138</t>
        </is>
      </c>
      <c r="B425" t="inlineStr">
        <is>
          <t>Q8</t>
        </is>
      </c>
      <c r="C425" t="inlineStr">
        <is>
          <t>Partial</t>
        </is>
      </c>
      <c r="D425" t="inlineStr">
        <is>
          <t>Partial</t>
        </is>
      </c>
      <c r="E425">
        <f>VLOOKUP(C425,CategoryMap,2,0)</f>
        <v/>
      </c>
      <c r="F425">
        <f>VLOOKUP(D425,CategoryMap,2,0)</f>
        <v/>
      </c>
      <c r="G425">
        <f>ABS(E425-F425)</f>
        <v/>
      </c>
      <c r="H425">
        <f>IF(G425=0,"Yes","No")</f>
        <v/>
      </c>
      <c r="I425" t="inlineStr">
        <is>
          <t>Yes</t>
        </is>
      </c>
      <c r="J425">
        <f>IF(I425="","",IF(AND(I425=C425,I425=D425),"Both",IF(I425=C425,"Opus",IF(I425=D425,"Sonnet","Neither"))))</f>
        <v/>
      </c>
    </row>
    <row r="426">
      <c r="A426" t="inlineStr">
        <is>
          <t>R139</t>
        </is>
      </c>
      <c r="B426" t="inlineStr">
        <is>
          <t>Q1</t>
        </is>
      </c>
      <c r="C426" t="inlineStr">
        <is>
          <t>Partial</t>
        </is>
      </c>
      <c r="D426" t="inlineStr">
        <is>
          <t>Partial</t>
        </is>
      </c>
      <c r="E426">
        <f>VLOOKUP(C426,CategoryMap,2,0)</f>
        <v/>
      </c>
      <c r="F426">
        <f>VLOOKUP(D426,CategoryMap,2,0)</f>
        <v/>
      </c>
      <c r="G426">
        <f>ABS(E426-F426)</f>
        <v/>
      </c>
      <c r="H426">
        <f>IF(G426=0,"Yes","No")</f>
        <v/>
      </c>
      <c r="I426" t="inlineStr">
        <is>
          <t>Partial</t>
        </is>
      </c>
      <c r="J426">
        <f>IF(I426="","",IF(AND(I426=C426,I426=D426),"Both",IF(I426=C426,"Opus",IF(I426=D426,"Sonnet","Neither"))))</f>
        <v/>
      </c>
    </row>
    <row r="427">
      <c r="A427" t="inlineStr">
        <is>
          <t>R139</t>
        </is>
      </c>
      <c r="B427" t="inlineStr">
        <is>
          <t>Q2</t>
        </is>
      </c>
      <c r="C427" t="inlineStr">
        <is>
          <t>Partial</t>
        </is>
      </c>
      <c r="D427" t="inlineStr">
        <is>
          <t>No</t>
        </is>
      </c>
      <c r="E427">
        <f>VLOOKUP(C427,CategoryMap,2,0)</f>
        <v/>
      </c>
      <c r="F427">
        <f>VLOOKUP(D427,CategoryMap,2,0)</f>
        <v/>
      </c>
      <c r="G427">
        <f>ABS(E427-F427)</f>
        <v/>
      </c>
      <c r="H427">
        <f>IF(G427=0,"Yes","No")</f>
        <v/>
      </c>
      <c r="I427" t="inlineStr">
        <is>
          <t>Partial</t>
        </is>
      </c>
      <c r="J427">
        <f>IF(I427="","",IF(AND(I427=C427,I427=D427),"Both",IF(I427=C427,"Opus",IF(I427=D427,"Sonnet","Neither"))))</f>
        <v/>
      </c>
    </row>
    <row r="428">
      <c r="A428" t="inlineStr">
        <is>
          <t>R139</t>
        </is>
      </c>
      <c r="B428" t="inlineStr">
        <is>
          <t>Q3</t>
        </is>
      </c>
      <c r="C428" t="inlineStr">
        <is>
          <t>Yes</t>
        </is>
      </c>
      <c r="D428" t="inlineStr">
        <is>
          <t>Yes</t>
        </is>
      </c>
      <c r="E428">
        <f>VLOOKUP(C428,CategoryMap,2,0)</f>
        <v/>
      </c>
      <c r="F428">
        <f>VLOOKUP(D428,CategoryMap,2,0)</f>
        <v/>
      </c>
      <c r="G428">
        <f>ABS(E428-F428)</f>
        <v/>
      </c>
      <c r="H428">
        <f>IF(G428=0,"Yes","No")</f>
        <v/>
      </c>
      <c r="I428" t="inlineStr">
        <is>
          <t>Yes</t>
        </is>
      </c>
      <c r="J428">
        <f>IF(I428="","",IF(AND(I428=C428,I428=D428),"Both",IF(I428=C428,"Opus",IF(I428=D428,"Sonnet","Neither"))))</f>
        <v/>
      </c>
    </row>
    <row r="429">
      <c r="A429" t="inlineStr">
        <is>
          <t>R139</t>
        </is>
      </c>
      <c r="B429" t="inlineStr">
        <is>
          <t>Q4</t>
        </is>
      </c>
      <c r="C429" t="inlineStr">
        <is>
          <t>Partial</t>
        </is>
      </c>
      <c r="D429" t="inlineStr">
        <is>
          <t>Partial</t>
        </is>
      </c>
      <c r="E429">
        <f>VLOOKUP(C429,CategoryMap,2,0)</f>
        <v/>
      </c>
      <c r="F429">
        <f>VLOOKUP(D429,CategoryMap,2,0)</f>
        <v/>
      </c>
      <c r="G429">
        <f>ABS(E429-F429)</f>
        <v/>
      </c>
      <c r="H429">
        <f>IF(G429=0,"Yes","No")</f>
        <v/>
      </c>
      <c r="I429" t="inlineStr">
        <is>
          <t>Partial</t>
        </is>
      </c>
      <c r="J429">
        <f>IF(I429="","",IF(AND(I429=C429,I429=D429),"Both",IF(I429=C429,"Opus",IF(I429=D429,"Sonnet","Neither"))))</f>
        <v/>
      </c>
    </row>
    <row r="430">
      <c r="A430" t="inlineStr">
        <is>
          <t>R139</t>
        </is>
      </c>
      <c r="B430" t="inlineStr">
        <is>
          <t>Q5</t>
        </is>
      </c>
      <c r="C430" t="inlineStr">
        <is>
          <t>Yes</t>
        </is>
      </c>
      <c r="D430" t="inlineStr">
        <is>
          <t>Yes</t>
        </is>
      </c>
      <c r="E430">
        <f>VLOOKUP(C430,CategoryMap,2,0)</f>
        <v/>
      </c>
      <c r="F430">
        <f>VLOOKUP(D430,CategoryMap,2,0)</f>
        <v/>
      </c>
      <c r="G430">
        <f>ABS(E430-F430)</f>
        <v/>
      </c>
      <c r="H430">
        <f>IF(G430=0,"Yes","No")</f>
        <v/>
      </c>
      <c r="I430" t="inlineStr">
        <is>
          <t>Yes</t>
        </is>
      </c>
      <c r="J430">
        <f>IF(I430="","",IF(AND(I430=C430,I430=D430),"Both",IF(I430=C430,"Opus",IF(I430=D430,"Sonnet","Neither"))))</f>
        <v/>
      </c>
    </row>
    <row r="431">
      <c r="A431" t="inlineStr">
        <is>
          <t>R139</t>
        </is>
      </c>
      <c r="B431" t="inlineStr">
        <is>
          <t>Q6</t>
        </is>
      </c>
      <c r="C431" t="inlineStr">
        <is>
          <t>Yes</t>
        </is>
      </c>
      <c r="D431" t="inlineStr">
        <is>
          <t>Yes</t>
        </is>
      </c>
      <c r="E431">
        <f>VLOOKUP(C431,CategoryMap,2,0)</f>
        <v/>
      </c>
      <c r="F431">
        <f>VLOOKUP(D431,CategoryMap,2,0)</f>
        <v/>
      </c>
      <c r="G431">
        <f>ABS(E431-F431)</f>
        <v/>
      </c>
      <c r="H431">
        <f>IF(G431=0,"Yes","No")</f>
        <v/>
      </c>
      <c r="I431" t="inlineStr">
        <is>
          <t>Yes</t>
        </is>
      </c>
      <c r="J431">
        <f>IF(I431="","",IF(AND(I431=C431,I431=D431),"Both",IF(I431=C431,"Opus",IF(I431=D431,"Sonnet","Neither"))))</f>
        <v/>
      </c>
    </row>
    <row r="432">
      <c r="A432" t="inlineStr">
        <is>
          <t>R139</t>
        </is>
      </c>
      <c r="B432" t="inlineStr">
        <is>
          <t>Q7</t>
        </is>
      </c>
      <c r="C432" t="inlineStr">
        <is>
          <t>Partial</t>
        </is>
      </c>
      <c r="D432" t="inlineStr">
        <is>
          <t>Yes</t>
        </is>
      </c>
      <c r="E432">
        <f>VLOOKUP(C432,CategoryMap,2,0)</f>
        <v/>
      </c>
      <c r="F432">
        <f>VLOOKUP(D432,CategoryMap,2,0)</f>
        <v/>
      </c>
      <c r="G432">
        <f>ABS(E432-F432)</f>
        <v/>
      </c>
      <c r="H432">
        <f>IF(G432=0,"Yes","No")</f>
        <v/>
      </c>
      <c r="I432" t="inlineStr">
        <is>
          <t>Partial</t>
        </is>
      </c>
      <c r="J432">
        <f>IF(I432="","",IF(AND(I432=C432,I432=D432),"Both",IF(I432=C432,"Opus",IF(I432=D432,"Sonnet","Neither"))))</f>
        <v/>
      </c>
    </row>
    <row r="433">
      <c r="A433" t="inlineStr">
        <is>
          <t>R139</t>
        </is>
      </c>
      <c r="B433" t="inlineStr">
        <is>
          <t>Q8</t>
        </is>
      </c>
      <c r="C433" t="inlineStr">
        <is>
          <t>Partial</t>
        </is>
      </c>
      <c r="D433" t="inlineStr">
        <is>
          <t>Partial</t>
        </is>
      </c>
      <c r="E433">
        <f>VLOOKUP(C433,CategoryMap,2,0)</f>
        <v/>
      </c>
      <c r="F433">
        <f>VLOOKUP(D433,CategoryMap,2,0)</f>
        <v/>
      </c>
      <c r="G433">
        <f>ABS(E433-F433)</f>
        <v/>
      </c>
      <c r="H433">
        <f>IF(G433=0,"Yes","No")</f>
        <v/>
      </c>
      <c r="I433" t="inlineStr">
        <is>
          <t>Partial</t>
        </is>
      </c>
      <c r="J433">
        <f>IF(I433="","",IF(AND(I433=C433,I433=D433),"Both",IF(I433=C433,"Opus",IF(I433=D433,"Sonnet","Neither"))))</f>
        <v/>
      </c>
    </row>
    <row r="434">
      <c r="A434" t="inlineStr">
        <is>
          <t>R141</t>
        </is>
      </c>
      <c r="B434" t="inlineStr">
        <is>
          <t>Q1</t>
        </is>
      </c>
      <c r="C434" t="inlineStr">
        <is>
          <t>Partial</t>
        </is>
      </c>
      <c r="D434" t="inlineStr">
        <is>
          <t>Partial</t>
        </is>
      </c>
      <c r="E434">
        <f>VLOOKUP(C434,CategoryMap,2,0)</f>
        <v/>
      </c>
      <c r="F434">
        <f>VLOOKUP(D434,CategoryMap,2,0)</f>
        <v/>
      </c>
      <c r="G434">
        <f>ABS(E434-F434)</f>
        <v/>
      </c>
      <c r="H434">
        <f>IF(G434=0,"Yes","No")</f>
        <v/>
      </c>
      <c r="I434" t="inlineStr">
        <is>
          <t>Partial</t>
        </is>
      </c>
      <c r="J434">
        <f>IF(I434="","",IF(AND(I434=C434,I434=D434),"Both",IF(I434=C434,"Opus",IF(I434=D434,"Sonnet","Neither"))))</f>
        <v/>
      </c>
    </row>
    <row r="435">
      <c r="A435" t="inlineStr">
        <is>
          <t>R141</t>
        </is>
      </c>
      <c r="B435" t="inlineStr">
        <is>
          <t>Q2</t>
        </is>
      </c>
      <c r="C435" t="inlineStr">
        <is>
          <t>Yes</t>
        </is>
      </c>
      <c r="D435" t="inlineStr">
        <is>
          <t>Partial</t>
        </is>
      </c>
      <c r="E435">
        <f>VLOOKUP(C435,CategoryMap,2,0)</f>
        <v/>
      </c>
      <c r="F435">
        <f>VLOOKUP(D435,CategoryMap,2,0)</f>
        <v/>
      </c>
      <c r="G435">
        <f>ABS(E435-F435)</f>
        <v/>
      </c>
      <c r="H435">
        <f>IF(G435=0,"Yes","No")</f>
        <v/>
      </c>
      <c r="I435" t="inlineStr">
        <is>
          <t>Yes</t>
        </is>
      </c>
      <c r="J435">
        <f>IF(I435="","",IF(AND(I435=C435,I435=D435),"Both",IF(I435=C435,"Opus",IF(I435=D435,"Sonnet","Neither"))))</f>
        <v/>
      </c>
    </row>
    <row r="436">
      <c r="A436" t="inlineStr">
        <is>
          <t>R141</t>
        </is>
      </c>
      <c r="B436" t="inlineStr">
        <is>
          <t>Q3</t>
        </is>
      </c>
      <c r="C436" t="inlineStr">
        <is>
          <t>Yes</t>
        </is>
      </c>
      <c r="D436" t="inlineStr">
        <is>
          <t>Partial</t>
        </is>
      </c>
      <c r="E436">
        <f>VLOOKUP(C436,CategoryMap,2,0)</f>
        <v/>
      </c>
      <c r="F436">
        <f>VLOOKUP(D436,CategoryMap,2,0)</f>
        <v/>
      </c>
      <c r="G436">
        <f>ABS(E436-F436)</f>
        <v/>
      </c>
      <c r="H436">
        <f>IF(G436=0,"Yes","No")</f>
        <v/>
      </c>
      <c r="I436" t="inlineStr">
        <is>
          <t>Yes</t>
        </is>
      </c>
      <c r="J436">
        <f>IF(I436="","",IF(AND(I436=C436,I436=D436),"Both",IF(I436=C436,"Opus",IF(I436=D436,"Sonnet","Neither"))))</f>
        <v/>
      </c>
    </row>
    <row r="437">
      <c r="A437" t="inlineStr">
        <is>
          <t>R141</t>
        </is>
      </c>
      <c r="B437" t="inlineStr">
        <is>
          <t>Q4</t>
        </is>
      </c>
      <c r="C437" t="inlineStr">
        <is>
          <t>Partial</t>
        </is>
      </c>
      <c r="D437" t="inlineStr">
        <is>
          <t>Yes</t>
        </is>
      </c>
      <c r="E437">
        <f>VLOOKUP(C437,CategoryMap,2,0)</f>
        <v/>
      </c>
      <c r="F437">
        <f>VLOOKUP(D437,CategoryMap,2,0)</f>
        <v/>
      </c>
      <c r="G437">
        <f>ABS(E437-F437)</f>
        <v/>
      </c>
      <c r="H437">
        <f>IF(G437=0,"Yes","No")</f>
        <v/>
      </c>
      <c r="I437" t="inlineStr">
        <is>
          <t>Partial</t>
        </is>
      </c>
      <c r="J437">
        <f>IF(I437="","",IF(AND(I437=C437,I437=D437),"Both",IF(I437=C437,"Opus",IF(I437=D437,"Sonnet","Neither"))))</f>
        <v/>
      </c>
    </row>
    <row r="438">
      <c r="A438" t="inlineStr">
        <is>
          <t>R141</t>
        </is>
      </c>
      <c r="B438" t="inlineStr">
        <is>
          <t>Q5</t>
        </is>
      </c>
      <c r="C438" t="inlineStr">
        <is>
          <t>Yes</t>
        </is>
      </c>
      <c r="D438" t="inlineStr">
        <is>
          <t>Yes</t>
        </is>
      </c>
      <c r="E438">
        <f>VLOOKUP(C438,CategoryMap,2,0)</f>
        <v/>
      </c>
      <c r="F438">
        <f>VLOOKUP(D438,CategoryMap,2,0)</f>
        <v/>
      </c>
      <c r="G438">
        <f>ABS(E438-F438)</f>
        <v/>
      </c>
      <c r="H438">
        <f>IF(G438=0,"Yes","No")</f>
        <v/>
      </c>
      <c r="I438" t="inlineStr">
        <is>
          <t>Yes</t>
        </is>
      </c>
      <c r="J438">
        <f>IF(I438="","",IF(AND(I438=C438,I438=D438),"Both",IF(I438=C438,"Opus",IF(I438=D438,"Sonnet","Neither"))))</f>
        <v/>
      </c>
    </row>
    <row r="439">
      <c r="A439" t="inlineStr">
        <is>
          <t>R141</t>
        </is>
      </c>
      <c r="B439" t="inlineStr">
        <is>
          <t>Q6</t>
        </is>
      </c>
      <c r="C439" t="inlineStr">
        <is>
          <t>Yes</t>
        </is>
      </c>
      <c r="D439" t="inlineStr">
        <is>
          <t>Yes</t>
        </is>
      </c>
      <c r="E439">
        <f>VLOOKUP(C439,CategoryMap,2,0)</f>
        <v/>
      </c>
      <c r="F439">
        <f>VLOOKUP(D439,CategoryMap,2,0)</f>
        <v/>
      </c>
      <c r="G439">
        <f>ABS(E439-F439)</f>
        <v/>
      </c>
      <c r="H439">
        <f>IF(G439=0,"Yes","No")</f>
        <v/>
      </c>
      <c r="I439" t="inlineStr">
        <is>
          <t>Yes</t>
        </is>
      </c>
      <c r="J439">
        <f>IF(I439="","",IF(AND(I439=C439,I439=D439),"Both",IF(I439=C439,"Opus",IF(I439=D439,"Sonnet","Neither"))))</f>
        <v/>
      </c>
    </row>
    <row r="440">
      <c r="A440" t="inlineStr">
        <is>
          <t>R141</t>
        </is>
      </c>
      <c r="B440" t="inlineStr">
        <is>
          <t>Q7</t>
        </is>
      </c>
      <c r="C440" t="inlineStr">
        <is>
          <t>Partial</t>
        </is>
      </c>
      <c r="D440" t="inlineStr">
        <is>
          <t>No</t>
        </is>
      </c>
      <c r="E440">
        <f>VLOOKUP(C440,CategoryMap,2,0)</f>
        <v/>
      </c>
      <c r="F440">
        <f>VLOOKUP(D440,CategoryMap,2,0)</f>
        <v/>
      </c>
      <c r="G440">
        <f>ABS(E440-F440)</f>
        <v/>
      </c>
      <c r="H440">
        <f>IF(G440=0,"Yes","No")</f>
        <v/>
      </c>
      <c r="I440" t="inlineStr">
        <is>
          <t>No</t>
        </is>
      </c>
      <c r="J440">
        <f>IF(I440="","",IF(AND(I440=C440,I440=D440),"Both",IF(I440=C440,"Opus",IF(I440=D440,"Sonnet","Neither"))))</f>
        <v/>
      </c>
    </row>
    <row r="441">
      <c r="A441" t="inlineStr">
        <is>
          <t>R141</t>
        </is>
      </c>
      <c r="B441" t="inlineStr">
        <is>
          <t>Q8</t>
        </is>
      </c>
      <c r="C441" t="inlineStr">
        <is>
          <t>Partial</t>
        </is>
      </c>
      <c r="D441" t="inlineStr">
        <is>
          <t>Partial</t>
        </is>
      </c>
      <c r="E441">
        <f>VLOOKUP(C441,CategoryMap,2,0)</f>
        <v/>
      </c>
      <c r="F441">
        <f>VLOOKUP(D441,CategoryMap,2,0)</f>
        <v/>
      </c>
      <c r="G441">
        <f>ABS(E441-F441)</f>
        <v/>
      </c>
      <c r="H441">
        <f>IF(G441=0,"Yes","No")</f>
        <v/>
      </c>
      <c r="I441" t="inlineStr">
        <is>
          <t>Partial</t>
        </is>
      </c>
      <c r="J441">
        <f>IF(I441="","",IF(AND(I441=C441,I441=D441),"Both",IF(I441=C441,"Opus",IF(I441=D441,"Sonnet","Neither"))))</f>
        <v/>
      </c>
    </row>
    <row r="442">
      <c r="A442" t="inlineStr">
        <is>
          <t>R142</t>
        </is>
      </c>
      <c r="B442" t="inlineStr">
        <is>
          <t>Q1</t>
        </is>
      </c>
      <c r="C442" t="inlineStr">
        <is>
          <t>Partial</t>
        </is>
      </c>
      <c r="D442" t="inlineStr">
        <is>
          <t>Partial</t>
        </is>
      </c>
      <c r="E442">
        <f>VLOOKUP(C442,CategoryMap,2,0)</f>
        <v/>
      </c>
      <c r="F442">
        <f>VLOOKUP(D442,CategoryMap,2,0)</f>
        <v/>
      </c>
      <c r="G442">
        <f>ABS(E442-F442)</f>
        <v/>
      </c>
      <c r="H442">
        <f>IF(G442=0,"Yes","No")</f>
        <v/>
      </c>
      <c r="I442" t="inlineStr">
        <is>
          <t>Partial</t>
        </is>
      </c>
      <c r="J442">
        <f>IF(I442="","",IF(AND(I442=C442,I442=D442),"Both",IF(I442=C442,"Opus",IF(I442=D442,"Sonnet","Neither"))))</f>
        <v/>
      </c>
    </row>
    <row r="443">
      <c r="A443" t="inlineStr">
        <is>
          <t>R142</t>
        </is>
      </c>
      <c r="B443" t="inlineStr">
        <is>
          <t>Q2</t>
        </is>
      </c>
      <c r="C443" t="inlineStr">
        <is>
          <t>Partial</t>
        </is>
      </c>
      <c r="D443" t="inlineStr">
        <is>
          <t>Partial</t>
        </is>
      </c>
      <c r="E443">
        <f>VLOOKUP(C443,CategoryMap,2,0)</f>
        <v/>
      </c>
      <c r="F443">
        <f>VLOOKUP(D443,CategoryMap,2,0)</f>
        <v/>
      </c>
      <c r="G443">
        <f>ABS(E443-F443)</f>
        <v/>
      </c>
      <c r="H443">
        <f>IF(G443=0,"Yes","No")</f>
        <v/>
      </c>
      <c r="I443" t="inlineStr">
        <is>
          <t>Partial</t>
        </is>
      </c>
      <c r="J443">
        <f>IF(I443="","",IF(AND(I443=C443,I443=D443),"Both",IF(I443=C443,"Opus",IF(I443=D443,"Sonnet","Neither"))))</f>
        <v/>
      </c>
    </row>
    <row r="444">
      <c r="A444" t="inlineStr">
        <is>
          <t>R142</t>
        </is>
      </c>
      <c r="B444" t="inlineStr">
        <is>
          <t>Q3</t>
        </is>
      </c>
      <c r="C444" t="inlineStr">
        <is>
          <t>Yes</t>
        </is>
      </c>
      <c r="D444" t="inlineStr">
        <is>
          <t>Yes</t>
        </is>
      </c>
      <c r="E444">
        <f>VLOOKUP(C444,CategoryMap,2,0)</f>
        <v/>
      </c>
      <c r="F444">
        <f>VLOOKUP(D444,CategoryMap,2,0)</f>
        <v/>
      </c>
      <c r="G444">
        <f>ABS(E444-F444)</f>
        <v/>
      </c>
      <c r="H444">
        <f>IF(G444=0,"Yes","No")</f>
        <v/>
      </c>
      <c r="I444" t="inlineStr">
        <is>
          <t>Yes</t>
        </is>
      </c>
      <c r="J444">
        <f>IF(I444="","",IF(AND(I444=C444,I444=D444),"Both",IF(I444=C444,"Opus",IF(I444=D444,"Sonnet","Neither"))))</f>
        <v/>
      </c>
    </row>
    <row r="445">
      <c r="A445" t="inlineStr">
        <is>
          <t>R142</t>
        </is>
      </c>
      <c r="B445" t="inlineStr">
        <is>
          <t>Q4</t>
        </is>
      </c>
      <c r="C445" t="inlineStr">
        <is>
          <t>Partial</t>
        </is>
      </c>
      <c r="D445" t="inlineStr">
        <is>
          <t>Yes</t>
        </is>
      </c>
      <c r="E445">
        <f>VLOOKUP(C445,CategoryMap,2,0)</f>
        <v/>
      </c>
      <c r="F445">
        <f>VLOOKUP(D445,CategoryMap,2,0)</f>
        <v/>
      </c>
      <c r="G445">
        <f>ABS(E445-F445)</f>
        <v/>
      </c>
      <c r="H445">
        <f>IF(G445=0,"Yes","No")</f>
        <v/>
      </c>
      <c r="I445" t="inlineStr">
        <is>
          <t>Partial</t>
        </is>
      </c>
      <c r="J445">
        <f>IF(I445="","",IF(AND(I445=C445,I445=D445),"Both",IF(I445=C445,"Opus",IF(I445=D445,"Sonnet","Neither"))))</f>
        <v/>
      </c>
    </row>
    <row r="446">
      <c r="A446" t="inlineStr">
        <is>
          <t>R142</t>
        </is>
      </c>
      <c r="B446" t="inlineStr">
        <is>
          <t>Q5</t>
        </is>
      </c>
      <c r="C446" t="inlineStr">
        <is>
          <t>Partial</t>
        </is>
      </c>
      <c r="D446" t="inlineStr">
        <is>
          <t>Yes</t>
        </is>
      </c>
      <c r="E446">
        <f>VLOOKUP(C446,CategoryMap,2,0)</f>
        <v/>
      </c>
      <c r="F446">
        <f>VLOOKUP(D446,CategoryMap,2,0)</f>
        <v/>
      </c>
      <c r="G446">
        <f>ABS(E446-F446)</f>
        <v/>
      </c>
      <c r="H446">
        <f>IF(G446=0,"Yes","No")</f>
        <v/>
      </c>
      <c r="I446" t="inlineStr">
        <is>
          <t>Partial</t>
        </is>
      </c>
      <c r="J446">
        <f>IF(I446="","",IF(AND(I446=C446,I446=D446),"Both",IF(I446=C446,"Opus",IF(I446=D446,"Sonnet","Neither"))))</f>
        <v/>
      </c>
    </row>
    <row r="447">
      <c r="A447" t="inlineStr">
        <is>
          <t>R142</t>
        </is>
      </c>
      <c r="B447" t="inlineStr">
        <is>
          <t>Q6</t>
        </is>
      </c>
      <c r="C447" t="inlineStr">
        <is>
          <t>Partial</t>
        </is>
      </c>
      <c r="D447" t="inlineStr">
        <is>
          <t>Yes</t>
        </is>
      </c>
      <c r="E447">
        <f>VLOOKUP(C447,CategoryMap,2,0)</f>
        <v/>
      </c>
      <c r="F447">
        <f>VLOOKUP(D447,CategoryMap,2,0)</f>
        <v/>
      </c>
      <c r="G447">
        <f>ABS(E447-F447)</f>
        <v/>
      </c>
      <c r="H447">
        <f>IF(G447=0,"Yes","No")</f>
        <v/>
      </c>
      <c r="I447" t="inlineStr">
        <is>
          <t>Partial</t>
        </is>
      </c>
      <c r="J447">
        <f>IF(I447="","",IF(AND(I447=C447,I447=D447),"Both",IF(I447=C447,"Opus",IF(I447=D447,"Sonnet","Neither"))))</f>
        <v/>
      </c>
    </row>
    <row r="448">
      <c r="A448" t="inlineStr">
        <is>
          <t>R142</t>
        </is>
      </c>
      <c r="B448" t="inlineStr">
        <is>
          <t>Q7</t>
        </is>
      </c>
      <c r="C448" t="inlineStr">
        <is>
          <t>No</t>
        </is>
      </c>
      <c r="D448" t="inlineStr">
        <is>
          <t>No</t>
        </is>
      </c>
      <c r="E448">
        <f>VLOOKUP(C448,CategoryMap,2,0)</f>
        <v/>
      </c>
      <c r="F448">
        <f>VLOOKUP(D448,CategoryMap,2,0)</f>
        <v/>
      </c>
      <c r="G448">
        <f>ABS(E448-F448)</f>
        <v/>
      </c>
      <c r="H448">
        <f>IF(G448=0,"Yes","No")</f>
        <v/>
      </c>
      <c r="I448" t="inlineStr">
        <is>
          <t>No</t>
        </is>
      </c>
      <c r="J448">
        <f>IF(I448="","",IF(AND(I448=C448,I448=D448),"Both",IF(I448=C448,"Opus",IF(I448=D448,"Sonnet","Neither"))))</f>
        <v/>
      </c>
    </row>
    <row r="449">
      <c r="A449" t="inlineStr">
        <is>
          <t>R142</t>
        </is>
      </c>
      <c r="B449" t="inlineStr">
        <is>
          <t>Q8</t>
        </is>
      </c>
      <c r="C449" t="inlineStr">
        <is>
          <t>Yes</t>
        </is>
      </c>
      <c r="D449" t="inlineStr">
        <is>
          <t>Yes</t>
        </is>
      </c>
      <c r="E449">
        <f>VLOOKUP(C449,CategoryMap,2,0)</f>
        <v/>
      </c>
      <c r="F449">
        <f>VLOOKUP(D449,CategoryMap,2,0)</f>
        <v/>
      </c>
      <c r="G449">
        <f>ABS(E449-F449)</f>
        <v/>
      </c>
      <c r="H449">
        <f>IF(G449=0,"Yes","No")</f>
        <v/>
      </c>
      <c r="I449" t="inlineStr">
        <is>
          <t>Yes</t>
        </is>
      </c>
      <c r="J449">
        <f>IF(I449="","",IF(AND(I449=C449,I449=D449),"Both",IF(I449=C449,"Opus",IF(I449=D449,"Sonnet","Neither"))))</f>
        <v/>
      </c>
    </row>
    <row r="450">
      <c r="A450" t="inlineStr">
        <is>
          <t>R144</t>
        </is>
      </c>
      <c r="B450" t="inlineStr">
        <is>
          <t>Q1</t>
        </is>
      </c>
      <c r="C450" t="inlineStr">
        <is>
          <t>Partial</t>
        </is>
      </c>
      <c r="D450" t="inlineStr">
        <is>
          <t>No</t>
        </is>
      </c>
      <c r="E450">
        <f>VLOOKUP(C450,CategoryMap,2,0)</f>
        <v/>
      </c>
      <c r="F450">
        <f>VLOOKUP(D450,CategoryMap,2,0)</f>
        <v/>
      </c>
      <c r="G450">
        <f>ABS(E450-F450)</f>
        <v/>
      </c>
      <c r="H450">
        <f>IF(G450=0,"Yes","No")</f>
        <v/>
      </c>
      <c r="I450" t="inlineStr">
        <is>
          <t>No</t>
        </is>
      </c>
      <c r="J450">
        <f>IF(I450="","",IF(AND(I450=C450,I450=D450),"Both",IF(I450=C450,"Opus",IF(I450=D450,"Sonnet","Neither"))))</f>
        <v/>
      </c>
    </row>
    <row r="451">
      <c r="A451" t="inlineStr">
        <is>
          <t>R144</t>
        </is>
      </c>
      <c r="B451" t="inlineStr">
        <is>
          <t>Q2</t>
        </is>
      </c>
      <c r="C451" t="inlineStr">
        <is>
          <t>No</t>
        </is>
      </c>
      <c r="D451" t="inlineStr">
        <is>
          <t>No</t>
        </is>
      </c>
      <c r="E451">
        <f>VLOOKUP(C451,CategoryMap,2,0)</f>
        <v/>
      </c>
      <c r="F451">
        <f>VLOOKUP(D451,CategoryMap,2,0)</f>
        <v/>
      </c>
      <c r="G451">
        <f>ABS(E451-F451)</f>
        <v/>
      </c>
      <c r="H451">
        <f>IF(G451=0,"Yes","No")</f>
        <v/>
      </c>
      <c r="I451" t="inlineStr">
        <is>
          <t>No</t>
        </is>
      </c>
      <c r="J451">
        <f>IF(I451="","",IF(AND(I451=C451,I451=D451),"Both",IF(I451=C451,"Opus",IF(I451=D451,"Sonnet","Neither"))))</f>
        <v/>
      </c>
    </row>
    <row r="452">
      <c r="A452" t="inlineStr">
        <is>
          <t>R144</t>
        </is>
      </c>
      <c r="B452" t="inlineStr">
        <is>
          <t>Q3</t>
        </is>
      </c>
      <c r="C452" t="inlineStr">
        <is>
          <t>Partial</t>
        </is>
      </c>
      <c r="D452" t="inlineStr">
        <is>
          <t>Partial</t>
        </is>
      </c>
      <c r="E452">
        <f>VLOOKUP(C452,CategoryMap,2,0)</f>
        <v/>
      </c>
      <c r="F452">
        <f>VLOOKUP(D452,CategoryMap,2,0)</f>
        <v/>
      </c>
      <c r="G452">
        <f>ABS(E452-F452)</f>
        <v/>
      </c>
      <c r="H452">
        <f>IF(G452=0,"Yes","No")</f>
        <v/>
      </c>
      <c r="I452" t="inlineStr">
        <is>
          <t>Partial</t>
        </is>
      </c>
      <c r="J452">
        <f>IF(I452="","",IF(AND(I452=C452,I452=D452),"Both",IF(I452=C452,"Opus",IF(I452=D452,"Sonnet","Neither"))))</f>
        <v/>
      </c>
    </row>
    <row r="453">
      <c r="A453" t="inlineStr">
        <is>
          <t>R144</t>
        </is>
      </c>
      <c r="B453" t="inlineStr">
        <is>
          <t>Q4</t>
        </is>
      </c>
      <c r="C453" t="inlineStr">
        <is>
          <t>No</t>
        </is>
      </c>
      <c r="D453" t="inlineStr">
        <is>
          <t>No</t>
        </is>
      </c>
      <c r="E453">
        <f>VLOOKUP(C453,CategoryMap,2,0)</f>
        <v/>
      </c>
      <c r="F453">
        <f>VLOOKUP(D453,CategoryMap,2,0)</f>
        <v/>
      </c>
      <c r="G453">
        <f>ABS(E453-F453)</f>
        <v/>
      </c>
      <c r="H453">
        <f>IF(G453=0,"Yes","No")</f>
        <v/>
      </c>
      <c r="I453" t="inlineStr">
        <is>
          <t>No</t>
        </is>
      </c>
      <c r="J453">
        <f>IF(I453="","",IF(AND(I453=C453,I453=D453),"Both",IF(I453=C453,"Opus",IF(I453=D453,"Sonnet","Neither"))))</f>
        <v/>
      </c>
    </row>
    <row r="454">
      <c r="A454" t="inlineStr">
        <is>
          <t>R144</t>
        </is>
      </c>
      <c r="B454" t="inlineStr">
        <is>
          <t>Q5</t>
        </is>
      </c>
      <c r="C454" t="inlineStr">
        <is>
          <t>No</t>
        </is>
      </c>
      <c r="D454" t="inlineStr">
        <is>
          <t>No</t>
        </is>
      </c>
      <c r="E454">
        <f>VLOOKUP(C454,CategoryMap,2,0)</f>
        <v/>
      </c>
      <c r="F454">
        <f>VLOOKUP(D454,CategoryMap,2,0)</f>
        <v/>
      </c>
      <c r="G454">
        <f>ABS(E454-F454)</f>
        <v/>
      </c>
      <c r="H454">
        <f>IF(G454=0,"Yes","No")</f>
        <v/>
      </c>
      <c r="I454" t="inlineStr">
        <is>
          <t>No</t>
        </is>
      </c>
      <c r="J454">
        <f>IF(I454="","",IF(AND(I454=C454,I454=D454),"Both",IF(I454=C454,"Opus",IF(I454=D454,"Sonnet","Neither"))))</f>
        <v/>
      </c>
    </row>
    <row r="455">
      <c r="A455" t="inlineStr">
        <is>
          <t>R144</t>
        </is>
      </c>
      <c r="B455" t="inlineStr">
        <is>
          <t>Q6</t>
        </is>
      </c>
      <c r="C455" t="inlineStr">
        <is>
          <t>No</t>
        </is>
      </c>
      <c r="D455" t="inlineStr">
        <is>
          <t>No</t>
        </is>
      </c>
      <c r="E455">
        <f>VLOOKUP(C455,CategoryMap,2,0)</f>
        <v/>
      </c>
      <c r="F455">
        <f>VLOOKUP(D455,CategoryMap,2,0)</f>
        <v/>
      </c>
      <c r="G455">
        <f>ABS(E455-F455)</f>
        <v/>
      </c>
      <c r="H455">
        <f>IF(G455=0,"Yes","No")</f>
        <v/>
      </c>
      <c r="I455" t="inlineStr">
        <is>
          <t>No</t>
        </is>
      </c>
      <c r="J455">
        <f>IF(I455="","",IF(AND(I455=C455,I455=D455),"Both",IF(I455=C455,"Opus",IF(I455=D455,"Sonnet","Neither"))))</f>
        <v/>
      </c>
    </row>
    <row r="456">
      <c r="A456" t="inlineStr">
        <is>
          <t>R144</t>
        </is>
      </c>
      <c r="B456" t="inlineStr">
        <is>
          <t>Q7</t>
        </is>
      </c>
      <c r="C456" t="inlineStr">
        <is>
          <t>No</t>
        </is>
      </c>
      <c r="D456" t="inlineStr">
        <is>
          <t>No</t>
        </is>
      </c>
      <c r="E456">
        <f>VLOOKUP(C456,CategoryMap,2,0)</f>
        <v/>
      </c>
      <c r="F456">
        <f>VLOOKUP(D456,CategoryMap,2,0)</f>
        <v/>
      </c>
      <c r="G456">
        <f>ABS(E456-F456)</f>
        <v/>
      </c>
      <c r="H456">
        <f>IF(G456=0,"Yes","No")</f>
        <v/>
      </c>
      <c r="I456" t="inlineStr">
        <is>
          <t>No</t>
        </is>
      </c>
      <c r="J456">
        <f>IF(I456="","",IF(AND(I456=C456,I456=D456),"Both",IF(I456=C456,"Opus",IF(I456=D456,"Sonnet","Neither"))))</f>
        <v/>
      </c>
    </row>
    <row r="457">
      <c r="A457" t="inlineStr">
        <is>
          <t>R144</t>
        </is>
      </c>
      <c r="B457" t="inlineStr">
        <is>
          <t>Q8</t>
        </is>
      </c>
      <c r="C457" t="inlineStr">
        <is>
          <t>Partial</t>
        </is>
      </c>
      <c r="D457" t="inlineStr">
        <is>
          <t>Partial</t>
        </is>
      </c>
      <c r="E457">
        <f>VLOOKUP(C457,CategoryMap,2,0)</f>
        <v/>
      </c>
      <c r="F457">
        <f>VLOOKUP(D457,CategoryMap,2,0)</f>
        <v/>
      </c>
      <c r="G457">
        <f>ABS(E457-F457)</f>
        <v/>
      </c>
      <c r="H457">
        <f>IF(G457=0,"Yes","No")</f>
        <v/>
      </c>
      <c r="I457" t="inlineStr">
        <is>
          <t>Partial</t>
        </is>
      </c>
      <c r="J457">
        <f>IF(I457="","",IF(AND(I457=C457,I457=D457),"Both",IF(I457=C457,"Opus",IF(I457=D457,"Sonnet","Neither"))))</f>
        <v/>
      </c>
    </row>
    <row r="458">
      <c r="A458" t="inlineStr">
        <is>
          <t>R145</t>
        </is>
      </c>
      <c r="B458" t="inlineStr">
        <is>
          <t>Q1</t>
        </is>
      </c>
      <c r="C458" t="inlineStr">
        <is>
          <t>Partial</t>
        </is>
      </c>
      <c r="D458" t="inlineStr">
        <is>
          <t>No</t>
        </is>
      </c>
      <c r="E458">
        <f>VLOOKUP(C458,CategoryMap,2,0)</f>
        <v/>
      </c>
      <c r="F458">
        <f>VLOOKUP(D458,CategoryMap,2,0)</f>
        <v/>
      </c>
      <c r="G458">
        <f>ABS(E458-F458)</f>
        <v/>
      </c>
      <c r="H458">
        <f>IF(G458=0,"Yes","No")</f>
        <v/>
      </c>
      <c r="I458" t="inlineStr">
        <is>
          <t>Partial</t>
        </is>
      </c>
      <c r="J458">
        <f>IF(I458="","",IF(AND(I458=C458,I458=D458),"Both",IF(I458=C458,"Opus",IF(I458=D458,"Sonnet","Neither"))))</f>
        <v/>
      </c>
    </row>
    <row r="459">
      <c r="A459" t="inlineStr">
        <is>
          <t>R145</t>
        </is>
      </c>
      <c r="B459" t="inlineStr">
        <is>
          <t>Q2</t>
        </is>
      </c>
      <c r="C459" t="inlineStr">
        <is>
          <t>Partial</t>
        </is>
      </c>
      <c r="D459" t="inlineStr">
        <is>
          <t>Partial</t>
        </is>
      </c>
      <c r="E459">
        <f>VLOOKUP(C459,CategoryMap,2,0)</f>
        <v/>
      </c>
      <c r="F459">
        <f>VLOOKUP(D459,CategoryMap,2,0)</f>
        <v/>
      </c>
      <c r="G459">
        <f>ABS(E459-F459)</f>
        <v/>
      </c>
      <c r="H459">
        <f>IF(G459=0,"Yes","No")</f>
        <v/>
      </c>
      <c r="I459" t="inlineStr">
        <is>
          <t>Partial</t>
        </is>
      </c>
      <c r="J459">
        <f>IF(I459="","",IF(AND(I459=C459,I459=D459),"Both",IF(I459=C459,"Opus",IF(I459=D459,"Sonnet","Neither"))))</f>
        <v/>
      </c>
    </row>
    <row r="460">
      <c r="A460" t="inlineStr">
        <is>
          <t>R145</t>
        </is>
      </c>
      <c r="B460" t="inlineStr">
        <is>
          <t>Q3</t>
        </is>
      </c>
      <c r="C460" t="inlineStr">
        <is>
          <t>Partial</t>
        </is>
      </c>
      <c r="D460" t="inlineStr">
        <is>
          <t>Partial</t>
        </is>
      </c>
      <c r="E460">
        <f>VLOOKUP(C460,CategoryMap,2,0)</f>
        <v/>
      </c>
      <c r="F460">
        <f>VLOOKUP(D460,CategoryMap,2,0)</f>
        <v/>
      </c>
      <c r="G460">
        <f>ABS(E460-F460)</f>
        <v/>
      </c>
      <c r="H460">
        <f>IF(G460=0,"Yes","No")</f>
        <v/>
      </c>
      <c r="I460" t="inlineStr">
        <is>
          <t>Partial</t>
        </is>
      </c>
      <c r="J460">
        <f>IF(I460="","",IF(AND(I460=C460,I460=D460),"Both",IF(I460=C460,"Opus",IF(I460=D460,"Sonnet","Neither"))))</f>
        <v/>
      </c>
    </row>
    <row r="461">
      <c r="A461" t="inlineStr">
        <is>
          <t>R145</t>
        </is>
      </c>
      <c r="B461" t="inlineStr">
        <is>
          <t>Q4</t>
        </is>
      </c>
      <c r="C461" t="inlineStr">
        <is>
          <t>Partial</t>
        </is>
      </c>
      <c r="D461" t="inlineStr">
        <is>
          <t>Yes</t>
        </is>
      </c>
      <c r="E461">
        <f>VLOOKUP(C461,CategoryMap,2,0)</f>
        <v/>
      </c>
      <c r="F461">
        <f>VLOOKUP(D461,CategoryMap,2,0)</f>
        <v/>
      </c>
      <c r="G461">
        <f>ABS(E461-F461)</f>
        <v/>
      </c>
      <c r="H461">
        <f>IF(G461=0,"Yes","No")</f>
        <v/>
      </c>
      <c r="I461" t="inlineStr">
        <is>
          <t>Partial</t>
        </is>
      </c>
      <c r="J461">
        <f>IF(I461="","",IF(AND(I461=C461,I461=D461),"Both",IF(I461=C461,"Opus",IF(I461=D461,"Sonnet","Neither"))))</f>
        <v/>
      </c>
    </row>
    <row r="462">
      <c r="A462" t="inlineStr">
        <is>
          <t>R145</t>
        </is>
      </c>
      <c r="B462" t="inlineStr">
        <is>
          <t>Q5</t>
        </is>
      </c>
      <c r="C462" t="inlineStr">
        <is>
          <t>Yes</t>
        </is>
      </c>
      <c r="D462" t="inlineStr">
        <is>
          <t>Yes</t>
        </is>
      </c>
      <c r="E462">
        <f>VLOOKUP(C462,CategoryMap,2,0)</f>
        <v/>
      </c>
      <c r="F462">
        <f>VLOOKUP(D462,CategoryMap,2,0)</f>
        <v/>
      </c>
      <c r="G462">
        <f>ABS(E462-F462)</f>
        <v/>
      </c>
      <c r="H462">
        <f>IF(G462=0,"Yes","No")</f>
        <v/>
      </c>
      <c r="I462" t="inlineStr">
        <is>
          <t>Yes</t>
        </is>
      </c>
      <c r="J462">
        <f>IF(I462="","",IF(AND(I462=C462,I462=D462),"Both",IF(I462=C462,"Opus",IF(I462=D462,"Sonnet","Neither"))))</f>
        <v/>
      </c>
    </row>
    <row r="463">
      <c r="A463" t="inlineStr">
        <is>
          <t>R145</t>
        </is>
      </c>
      <c r="B463" t="inlineStr">
        <is>
          <t>Q6</t>
        </is>
      </c>
      <c r="C463" t="inlineStr">
        <is>
          <t>Yes</t>
        </is>
      </c>
      <c r="D463" t="inlineStr">
        <is>
          <t>Yes</t>
        </is>
      </c>
      <c r="E463">
        <f>VLOOKUP(C463,CategoryMap,2,0)</f>
        <v/>
      </c>
      <c r="F463">
        <f>VLOOKUP(D463,CategoryMap,2,0)</f>
        <v/>
      </c>
      <c r="G463">
        <f>ABS(E463-F463)</f>
        <v/>
      </c>
      <c r="H463">
        <f>IF(G463=0,"Yes","No")</f>
        <v/>
      </c>
      <c r="I463" t="inlineStr">
        <is>
          <t>Yes</t>
        </is>
      </c>
      <c r="J463">
        <f>IF(I463="","",IF(AND(I463=C463,I463=D463),"Both",IF(I463=C463,"Opus",IF(I463=D463,"Sonnet","Neither"))))</f>
        <v/>
      </c>
    </row>
    <row r="464">
      <c r="A464" t="inlineStr">
        <is>
          <t>R145</t>
        </is>
      </c>
      <c r="B464" t="inlineStr">
        <is>
          <t>Q7</t>
        </is>
      </c>
      <c r="C464" t="inlineStr">
        <is>
          <t>Yes</t>
        </is>
      </c>
      <c r="D464" t="inlineStr">
        <is>
          <t>Yes</t>
        </is>
      </c>
      <c r="E464">
        <f>VLOOKUP(C464,CategoryMap,2,0)</f>
        <v/>
      </c>
      <c r="F464">
        <f>VLOOKUP(D464,CategoryMap,2,0)</f>
        <v/>
      </c>
      <c r="G464">
        <f>ABS(E464-F464)</f>
        <v/>
      </c>
      <c r="H464">
        <f>IF(G464=0,"Yes","No")</f>
        <v/>
      </c>
      <c r="I464" t="inlineStr">
        <is>
          <t>Yes</t>
        </is>
      </c>
      <c r="J464">
        <f>IF(I464="","",IF(AND(I464=C464,I464=D464),"Both",IF(I464=C464,"Opus",IF(I464=D464,"Sonnet","Neither"))))</f>
        <v/>
      </c>
    </row>
    <row r="465">
      <c r="A465" t="inlineStr">
        <is>
          <t>R145</t>
        </is>
      </c>
      <c r="B465" t="inlineStr">
        <is>
          <t>Q8</t>
        </is>
      </c>
      <c r="C465" t="inlineStr">
        <is>
          <t>Partial</t>
        </is>
      </c>
      <c r="D465" t="inlineStr">
        <is>
          <t>No</t>
        </is>
      </c>
      <c r="E465">
        <f>VLOOKUP(C465,CategoryMap,2,0)</f>
        <v/>
      </c>
      <c r="F465">
        <f>VLOOKUP(D465,CategoryMap,2,0)</f>
        <v/>
      </c>
      <c r="G465">
        <f>ABS(E465-F465)</f>
        <v/>
      </c>
      <c r="H465">
        <f>IF(G465=0,"Yes","No")</f>
        <v/>
      </c>
      <c r="I465" t="inlineStr">
        <is>
          <t>No</t>
        </is>
      </c>
      <c r="J465">
        <f>IF(I465="","",IF(AND(I465=C465,I465=D465),"Both",IF(I465=C465,"Opus",IF(I465=D465,"Sonnet","Neither"))))</f>
        <v/>
      </c>
    </row>
    <row r="466">
      <c r="A466" t="inlineStr">
        <is>
          <t>R147</t>
        </is>
      </c>
      <c r="B466" t="inlineStr">
        <is>
          <t>Q1</t>
        </is>
      </c>
      <c r="C466" t="inlineStr">
        <is>
          <t>Yes</t>
        </is>
      </c>
      <c r="D466" t="inlineStr">
        <is>
          <t>Yes</t>
        </is>
      </c>
      <c r="E466">
        <f>VLOOKUP(C466,CategoryMap,2,0)</f>
        <v/>
      </c>
      <c r="F466">
        <f>VLOOKUP(D466,CategoryMap,2,0)</f>
        <v/>
      </c>
      <c r="G466">
        <f>ABS(E466-F466)</f>
        <v/>
      </c>
      <c r="H466">
        <f>IF(G466=0,"Yes","No")</f>
        <v/>
      </c>
      <c r="I466" t="inlineStr">
        <is>
          <t>Yes</t>
        </is>
      </c>
      <c r="J466">
        <f>IF(I466="","",IF(AND(I466=C466,I466=D466),"Both",IF(I466=C466,"Opus",IF(I466=D466,"Sonnet","Neither"))))</f>
        <v/>
      </c>
    </row>
    <row r="467">
      <c r="A467" t="inlineStr">
        <is>
          <t>R147</t>
        </is>
      </c>
      <c r="B467" t="inlineStr">
        <is>
          <t>Q2</t>
        </is>
      </c>
      <c r="C467" t="inlineStr">
        <is>
          <t>Yes</t>
        </is>
      </c>
      <c r="D467" t="inlineStr">
        <is>
          <t>Yes</t>
        </is>
      </c>
      <c r="E467">
        <f>VLOOKUP(C467,CategoryMap,2,0)</f>
        <v/>
      </c>
      <c r="F467">
        <f>VLOOKUP(D467,CategoryMap,2,0)</f>
        <v/>
      </c>
      <c r="G467">
        <f>ABS(E467-F467)</f>
        <v/>
      </c>
      <c r="H467">
        <f>IF(G467=0,"Yes","No")</f>
        <v/>
      </c>
      <c r="I467" t="inlineStr">
        <is>
          <t>Yes</t>
        </is>
      </c>
      <c r="J467">
        <f>IF(I467="","",IF(AND(I467=C467,I467=D467),"Both",IF(I467=C467,"Opus",IF(I467=D467,"Sonnet","Neither"))))</f>
        <v/>
      </c>
    </row>
    <row r="468">
      <c r="A468" t="inlineStr">
        <is>
          <t>R147</t>
        </is>
      </c>
      <c r="B468" t="inlineStr">
        <is>
          <t>Q3</t>
        </is>
      </c>
      <c r="C468" t="inlineStr">
        <is>
          <t>Yes</t>
        </is>
      </c>
      <c r="D468" t="inlineStr">
        <is>
          <t>Yes</t>
        </is>
      </c>
      <c r="E468">
        <f>VLOOKUP(C468,CategoryMap,2,0)</f>
        <v/>
      </c>
      <c r="F468">
        <f>VLOOKUP(D468,CategoryMap,2,0)</f>
        <v/>
      </c>
      <c r="G468">
        <f>ABS(E468-F468)</f>
        <v/>
      </c>
      <c r="H468">
        <f>IF(G468=0,"Yes","No")</f>
        <v/>
      </c>
      <c r="I468" t="inlineStr">
        <is>
          <t>Yes</t>
        </is>
      </c>
      <c r="J468">
        <f>IF(I468="","",IF(AND(I468=C468,I468=D468),"Both",IF(I468=C468,"Opus",IF(I468=D468,"Sonnet","Neither"))))</f>
        <v/>
      </c>
    </row>
    <row r="469">
      <c r="A469" t="inlineStr">
        <is>
          <t>R147</t>
        </is>
      </c>
      <c r="B469" t="inlineStr">
        <is>
          <t>Q4</t>
        </is>
      </c>
      <c r="C469" t="inlineStr">
        <is>
          <t>Partial</t>
        </is>
      </c>
      <c r="D469" t="inlineStr">
        <is>
          <t>Yes</t>
        </is>
      </c>
      <c r="E469">
        <f>VLOOKUP(C469,CategoryMap,2,0)</f>
        <v/>
      </c>
      <c r="F469">
        <f>VLOOKUP(D469,CategoryMap,2,0)</f>
        <v/>
      </c>
      <c r="G469">
        <f>ABS(E469-F469)</f>
        <v/>
      </c>
      <c r="H469">
        <f>IF(G469=0,"Yes","No")</f>
        <v/>
      </c>
      <c r="I469" t="inlineStr">
        <is>
          <t>Yes</t>
        </is>
      </c>
      <c r="J469">
        <f>IF(I469="","",IF(AND(I469=C469,I469=D469),"Both",IF(I469=C469,"Opus",IF(I469=D469,"Sonnet","Neither"))))</f>
        <v/>
      </c>
    </row>
    <row r="470">
      <c r="A470" t="inlineStr">
        <is>
          <t>R147</t>
        </is>
      </c>
      <c r="B470" t="inlineStr">
        <is>
          <t>Q5</t>
        </is>
      </c>
      <c r="C470" t="inlineStr">
        <is>
          <t>Yes</t>
        </is>
      </c>
      <c r="D470" t="inlineStr">
        <is>
          <t>Yes</t>
        </is>
      </c>
      <c r="E470">
        <f>VLOOKUP(C470,CategoryMap,2,0)</f>
        <v/>
      </c>
      <c r="F470">
        <f>VLOOKUP(D470,CategoryMap,2,0)</f>
        <v/>
      </c>
      <c r="G470">
        <f>ABS(E470-F470)</f>
        <v/>
      </c>
      <c r="H470">
        <f>IF(G470=0,"Yes","No")</f>
        <v/>
      </c>
      <c r="I470" t="inlineStr">
        <is>
          <t>Yes</t>
        </is>
      </c>
      <c r="J470">
        <f>IF(I470="","",IF(AND(I470=C470,I470=D470),"Both",IF(I470=C470,"Opus",IF(I470=D470,"Sonnet","Neither"))))</f>
        <v/>
      </c>
    </row>
    <row r="471">
      <c r="A471" t="inlineStr">
        <is>
          <t>R147</t>
        </is>
      </c>
      <c r="B471" t="inlineStr">
        <is>
          <t>Q6</t>
        </is>
      </c>
      <c r="C471" t="inlineStr">
        <is>
          <t>Yes</t>
        </is>
      </c>
      <c r="D471" t="inlineStr">
        <is>
          <t>Yes</t>
        </is>
      </c>
      <c r="E471">
        <f>VLOOKUP(C471,CategoryMap,2,0)</f>
        <v/>
      </c>
      <c r="F471">
        <f>VLOOKUP(D471,CategoryMap,2,0)</f>
        <v/>
      </c>
      <c r="G471">
        <f>ABS(E471-F471)</f>
        <v/>
      </c>
      <c r="H471">
        <f>IF(G471=0,"Yes","No")</f>
        <v/>
      </c>
      <c r="I471" t="inlineStr">
        <is>
          <t>Yes</t>
        </is>
      </c>
      <c r="J471">
        <f>IF(I471="","",IF(AND(I471=C471,I471=D471),"Both",IF(I471=C471,"Opus",IF(I471=D471,"Sonnet","Neither"))))</f>
        <v/>
      </c>
    </row>
    <row r="472">
      <c r="A472" t="inlineStr">
        <is>
          <t>R147</t>
        </is>
      </c>
      <c r="B472" t="inlineStr">
        <is>
          <t>Q7</t>
        </is>
      </c>
      <c r="C472" t="inlineStr">
        <is>
          <t>Yes</t>
        </is>
      </c>
      <c r="D472" t="inlineStr">
        <is>
          <t>Yes</t>
        </is>
      </c>
      <c r="E472">
        <f>VLOOKUP(C472,CategoryMap,2,0)</f>
        <v/>
      </c>
      <c r="F472">
        <f>VLOOKUP(D472,CategoryMap,2,0)</f>
        <v/>
      </c>
      <c r="G472">
        <f>ABS(E472-F472)</f>
        <v/>
      </c>
      <c r="H472">
        <f>IF(G472=0,"Yes","No")</f>
        <v/>
      </c>
      <c r="I472" t="inlineStr">
        <is>
          <t>Yes</t>
        </is>
      </c>
      <c r="J472">
        <f>IF(I472="","",IF(AND(I472=C472,I472=D472),"Both",IF(I472=C472,"Opus",IF(I472=D472,"Sonnet","Neither"))))</f>
        <v/>
      </c>
    </row>
    <row r="473">
      <c r="A473" t="inlineStr">
        <is>
          <t>R147</t>
        </is>
      </c>
      <c r="B473" t="inlineStr">
        <is>
          <t>Q8</t>
        </is>
      </c>
      <c r="C473" t="inlineStr">
        <is>
          <t>Partial</t>
        </is>
      </c>
      <c r="D473" t="inlineStr">
        <is>
          <t>Partial</t>
        </is>
      </c>
      <c r="E473">
        <f>VLOOKUP(C473,CategoryMap,2,0)</f>
        <v/>
      </c>
      <c r="F473">
        <f>VLOOKUP(D473,CategoryMap,2,0)</f>
        <v/>
      </c>
      <c r="G473">
        <f>ABS(E473-F473)</f>
        <v/>
      </c>
      <c r="H473">
        <f>IF(G473=0,"Yes","No")</f>
        <v/>
      </c>
      <c r="I473" t="inlineStr">
        <is>
          <t>No</t>
        </is>
      </c>
      <c r="J473">
        <f>IF(I473="","",IF(AND(I473=C473,I473=D473),"Both",IF(I473=C473,"Opus",IF(I473=D473,"Sonnet","Neither"))))</f>
        <v/>
      </c>
    </row>
    <row r="474">
      <c r="A474" t="inlineStr">
        <is>
          <t>R150</t>
        </is>
      </c>
      <c r="B474" t="inlineStr">
        <is>
          <t>Q1</t>
        </is>
      </c>
      <c r="C474" t="inlineStr">
        <is>
          <t>Partial</t>
        </is>
      </c>
      <c r="D474" t="inlineStr">
        <is>
          <t>Partial</t>
        </is>
      </c>
      <c r="E474">
        <f>VLOOKUP(C474,CategoryMap,2,0)</f>
        <v/>
      </c>
      <c r="F474">
        <f>VLOOKUP(D474,CategoryMap,2,0)</f>
        <v/>
      </c>
      <c r="G474">
        <f>ABS(E474-F474)</f>
        <v/>
      </c>
      <c r="H474">
        <f>IF(G474=0,"Yes","No")</f>
        <v/>
      </c>
      <c r="I474" t="inlineStr">
        <is>
          <t>Partial</t>
        </is>
      </c>
      <c r="J474">
        <f>IF(I474="","",IF(AND(I474=C474,I474=D474),"Both",IF(I474=C474,"Opus",IF(I474=D474,"Sonnet","Neither"))))</f>
        <v/>
      </c>
    </row>
    <row r="475">
      <c r="A475" t="inlineStr">
        <is>
          <t>R150</t>
        </is>
      </c>
      <c r="B475" t="inlineStr">
        <is>
          <t>Q2</t>
        </is>
      </c>
      <c r="C475" t="inlineStr">
        <is>
          <t>Partial</t>
        </is>
      </c>
      <c r="D475" t="inlineStr">
        <is>
          <t>Partial</t>
        </is>
      </c>
      <c r="E475">
        <f>VLOOKUP(C475,CategoryMap,2,0)</f>
        <v/>
      </c>
      <c r="F475">
        <f>VLOOKUP(D475,CategoryMap,2,0)</f>
        <v/>
      </c>
      <c r="G475">
        <f>ABS(E475-F475)</f>
        <v/>
      </c>
      <c r="H475">
        <f>IF(G475=0,"Yes","No")</f>
        <v/>
      </c>
      <c r="I475" t="inlineStr">
        <is>
          <t>Partial</t>
        </is>
      </c>
      <c r="J475">
        <f>IF(I475="","",IF(AND(I475=C475,I475=D475),"Both",IF(I475=C475,"Opus",IF(I475=D475,"Sonnet","Neither"))))</f>
        <v/>
      </c>
    </row>
    <row r="476">
      <c r="A476" t="inlineStr">
        <is>
          <t>R150</t>
        </is>
      </c>
      <c r="B476" t="inlineStr">
        <is>
          <t>Q3</t>
        </is>
      </c>
      <c r="C476" t="inlineStr">
        <is>
          <t>Yes</t>
        </is>
      </c>
      <c r="D476" t="inlineStr">
        <is>
          <t>No</t>
        </is>
      </c>
      <c r="E476">
        <f>VLOOKUP(C476,CategoryMap,2,0)</f>
        <v/>
      </c>
      <c r="F476">
        <f>VLOOKUP(D476,CategoryMap,2,0)</f>
        <v/>
      </c>
      <c r="G476">
        <f>ABS(E476-F476)</f>
        <v/>
      </c>
      <c r="H476">
        <f>IF(G476=0,"Yes","No")</f>
        <v/>
      </c>
      <c r="I476" t="inlineStr">
        <is>
          <t>Partial</t>
        </is>
      </c>
      <c r="J476">
        <f>IF(I476="","",IF(AND(I476=C476,I476=D476),"Both",IF(I476=C476,"Opus",IF(I476=D476,"Sonnet","Neither"))))</f>
        <v/>
      </c>
    </row>
    <row r="477">
      <c r="A477" t="inlineStr">
        <is>
          <t>R150</t>
        </is>
      </c>
      <c r="B477" t="inlineStr">
        <is>
          <t>Q4</t>
        </is>
      </c>
      <c r="C477" t="inlineStr">
        <is>
          <t>No</t>
        </is>
      </c>
      <c r="D477" t="inlineStr">
        <is>
          <t>No</t>
        </is>
      </c>
      <c r="E477">
        <f>VLOOKUP(C477,CategoryMap,2,0)</f>
        <v/>
      </c>
      <c r="F477">
        <f>VLOOKUP(D477,CategoryMap,2,0)</f>
        <v/>
      </c>
      <c r="G477">
        <f>ABS(E477-F477)</f>
        <v/>
      </c>
      <c r="H477">
        <f>IF(G477=0,"Yes","No")</f>
        <v/>
      </c>
      <c r="I477" t="inlineStr">
        <is>
          <t>No</t>
        </is>
      </c>
      <c r="J477">
        <f>IF(I477="","",IF(AND(I477=C477,I477=D477),"Both",IF(I477=C477,"Opus",IF(I477=D477,"Sonnet","Neither"))))</f>
        <v/>
      </c>
    </row>
    <row r="478">
      <c r="A478" t="inlineStr">
        <is>
          <t>R150</t>
        </is>
      </c>
      <c r="B478" t="inlineStr">
        <is>
          <t>Q5</t>
        </is>
      </c>
      <c r="C478" t="inlineStr">
        <is>
          <t>No</t>
        </is>
      </c>
      <c r="D478" t="inlineStr">
        <is>
          <t>No</t>
        </is>
      </c>
      <c r="E478">
        <f>VLOOKUP(C478,CategoryMap,2,0)</f>
        <v/>
      </c>
      <c r="F478">
        <f>VLOOKUP(D478,CategoryMap,2,0)</f>
        <v/>
      </c>
      <c r="G478">
        <f>ABS(E478-F478)</f>
        <v/>
      </c>
      <c r="H478">
        <f>IF(G478=0,"Yes","No")</f>
        <v/>
      </c>
      <c r="I478" t="inlineStr">
        <is>
          <t>No</t>
        </is>
      </c>
      <c r="J478">
        <f>IF(I478="","",IF(AND(I478=C478,I478=D478),"Both",IF(I478=C478,"Opus",IF(I478=D478,"Sonnet","Neither"))))</f>
        <v/>
      </c>
    </row>
    <row r="479">
      <c r="A479" t="inlineStr">
        <is>
          <t>R150</t>
        </is>
      </c>
      <c r="B479" t="inlineStr">
        <is>
          <t>Q6</t>
        </is>
      </c>
      <c r="C479" t="inlineStr">
        <is>
          <t>No</t>
        </is>
      </c>
      <c r="D479" t="inlineStr">
        <is>
          <t>No</t>
        </is>
      </c>
      <c r="E479">
        <f>VLOOKUP(C479,CategoryMap,2,0)</f>
        <v/>
      </c>
      <c r="F479">
        <f>VLOOKUP(D479,CategoryMap,2,0)</f>
        <v/>
      </c>
      <c r="G479">
        <f>ABS(E479-F479)</f>
        <v/>
      </c>
      <c r="H479">
        <f>IF(G479=0,"Yes","No")</f>
        <v/>
      </c>
      <c r="I479" t="inlineStr">
        <is>
          <t>No</t>
        </is>
      </c>
      <c r="J479">
        <f>IF(I479="","",IF(AND(I479=C479,I479=D479),"Both",IF(I479=C479,"Opus",IF(I479=D479,"Sonnet","Neither"))))</f>
        <v/>
      </c>
    </row>
    <row r="480">
      <c r="A480" t="inlineStr">
        <is>
          <t>R150</t>
        </is>
      </c>
      <c r="B480" t="inlineStr">
        <is>
          <t>Q7</t>
        </is>
      </c>
      <c r="C480" t="inlineStr">
        <is>
          <t>No</t>
        </is>
      </c>
      <c r="D480" t="inlineStr">
        <is>
          <t>No</t>
        </is>
      </c>
      <c r="E480">
        <f>VLOOKUP(C480,CategoryMap,2,0)</f>
        <v/>
      </c>
      <c r="F480">
        <f>VLOOKUP(D480,CategoryMap,2,0)</f>
        <v/>
      </c>
      <c r="G480">
        <f>ABS(E480-F480)</f>
        <v/>
      </c>
      <c r="H480">
        <f>IF(G480=0,"Yes","No")</f>
        <v/>
      </c>
      <c r="I480" t="inlineStr">
        <is>
          <t>No</t>
        </is>
      </c>
      <c r="J480">
        <f>IF(I480="","",IF(AND(I480=C480,I480=D480),"Both",IF(I480=C480,"Opus",IF(I480=D480,"Sonnet","Neither"))))</f>
        <v/>
      </c>
    </row>
    <row r="481">
      <c r="A481" t="inlineStr">
        <is>
          <t>R150</t>
        </is>
      </c>
      <c r="B481" t="inlineStr">
        <is>
          <t>Q8</t>
        </is>
      </c>
      <c r="C481" t="inlineStr">
        <is>
          <t>Partial</t>
        </is>
      </c>
      <c r="D481" t="inlineStr">
        <is>
          <t>No</t>
        </is>
      </c>
      <c r="E481">
        <f>VLOOKUP(C481,CategoryMap,2,0)</f>
        <v/>
      </c>
      <c r="F481">
        <f>VLOOKUP(D481,CategoryMap,2,0)</f>
        <v/>
      </c>
      <c r="G481">
        <f>ABS(E481-F481)</f>
        <v/>
      </c>
      <c r="H481">
        <f>IF(G481=0,"Yes","No")</f>
        <v/>
      </c>
      <c r="I481" t="inlineStr">
        <is>
          <t>Partial</t>
        </is>
      </c>
      <c r="J481">
        <f>IF(I481="","",IF(AND(I481=C481,I481=D481),"Both",IF(I481=C481,"Opus",IF(I481=D481,"Sonnet","Neither"))))</f>
        <v/>
      </c>
    </row>
    <row r="482">
      <c r="A482" t="inlineStr">
        <is>
          <t>R151</t>
        </is>
      </c>
      <c r="B482" t="inlineStr">
        <is>
          <t>Q1</t>
        </is>
      </c>
      <c r="C482" t="inlineStr">
        <is>
          <t>Yes</t>
        </is>
      </c>
      <c r="D482" t="inlineStr">
        <is>
          <t>Partial</t>
        </is>
      </c>
      <c r="E482">
        <f>VLOOKUP(C482,CategoryMap,2,0)</f>
        <v/>
      </c>
      <c r="F482">
        <f>VLOOKUP(D482,CategoryMap,2,0)</f>
        <v/>
      </c>
      <c r="G482">
        <f>ABS(E482-F482)</f>
        <v/>
      </c>
      <c r="H482">
        <f>IF(G482=0,"Yes","No")</f>
        <v/>
      </c>
      <c r="I482" t="inlineStr">
        <is>
          <t>Partial</t>
        </is>
      </c>
      <c r="J482">
        <f>IF(I482="","",IF(AND(I482=C482,I482=D482),"Both",IF(I482=C482,"Opus",IF(I482=D482,"Sonnet","Neither"))))</f>
        <v/>
      </c>
    </row>
    <row r="483">
      <c r="A483" t="inlineStr">
        <is>
          <t>R151</t>
        </is>
      </c>
      <c r="B483" t="inlineStr">
        <is>
          <t>Q2</t>
        </is>
      </c>
      <c r="C483" t="inlineStr">
        <is>
          <t>Partial</t>
        </is>
      </c>
      <c r="D483" t="inlineStr">
        <is>
          <t>No</t>
        </is>
      </c>
      <c r="E483">
        <f>VLOOKUP(C483,CategoryMap,2,0)</f>
        <v/>
      </c>
      <c r="F483">
        <f>VLOOKUP(D483,CategoryMap,2,0)</f>
        <v/>
      </c>
      <c r="G483">
        <f>ABS(E483-F483)</f>
        <v/>
      </c>
      <c r="H483">
        <f>IF(G483=0,"Yes","No")</f>
        <v/>
      </c>
      <c r="I483" t="inlineStr">
        <is>
          <t>No</t>
        </is>
      </c>
      <c r="J483">
        <f>IF(I483="","",IF(AND(I483=C483,I483=D483),"Both",IF(I483=C483,"Opus",IF(I483=D483,"Sonnet","Neither"))))</f>
        <v/>
      </c>
    </row>
    <row r="484">
      <c r="A484" t="inlineStr">
        <is>
          <t>R151</t>
        </is>
      </c>
      <c r="B484" t="inlineStr">
        <is>
          <t>Q3</t>
        </is>
      </c>
      <c r="C484" t="inlineStr">
        <is>
          <t>Yes</t>
        </is>
      </c>
      <c r="D484" t="inlineStr">
        <is>
          <t>No</t>
        </is>
      </c>
      <c r="E484">
        <f>VLOOKUP(C484,CategoryMap,2,0)</f>
        <v/>
      </c>
      <c r="F484">
        <f>VLOOKUP(D484,CategoryMap,2,0)</f>
        <v/>
      </c>
      <c r="G484">
        <f>ABS(E484-F484)</f>
        <v/>
      </c>
      <c r="H484">
        <f>IF(G484=0,"Yes","No")</f>
        <v/>
      </c>
      <c r="I484" t="inlineStr">
        <is>
          <t>No</t>
        </is>
      </c>
      <c r="J484">
        <f>IF(I484="","",IF(AND(I484=C484,I484=D484),"Both",IF(I484=C484,"Opus",IF(I484=D484,"Sonnet","Neither"))))</f>
        <v/>
      </c>
    </row>
    <row r="485">
      <c r="A485" t="inlineStr">
        <is>
          <t>R151</t>
        </is>
      </c>
      <c r="B485" t="inlineStr">
        <is>
          <t>Q4</t>
        </is>
      </c>
      <c r="C485" t="inlineStr">
        <is>
          <t>No</t>
        </is>
      </c>
      <c r="D485" t="inlineStr">
        <is>
          <t>Partial</t>
        </is>
      </c>
      <c r="E485">
        <f>VLOOKUP(C485,CategoryMap,2,0)</f>
        <v/>
      </c>
      <c r="F485">
        <f>VLOOKUP(D485,CategoryMap,2,0)</f>
        <v/>
      </c>
      <c r="G485">
        <f>ABS(E485-F485)</f>
        <v/>
      </c>
      <c r="H485">
        <f>IF(G485=0,"Yes","No")</f>
        <v/>
      </c>
      <c r="I485" t="inlineStr">
        <is>
          <t>No</t>
        </is>
      </c>
      <c r="J485">
        <f>IF(I485="","",IF(AND(I485=C485,I485=D485),"Both",IF(I485=C485,"Opus",IF(I485=D485,"Sonnet","Neither"))))</f>
        <v/>
      </c>
    </row>
    <row r="486">
      <c r="A486" t="inlineStr">
        <is>
          <t>R151</t>
        </is>
      </c>
      <c r="B486" t="inlineStr">
        <is>
          <t>Q5</t>
        </is>
      </c>
      <c r="C486" t="inlineStr">
        <is>
          <t>Partial</t>
        </is>
      </c>
      <c r="D486" t="inlineStr">
        <is>
          <t>Yes</t>
        </is>
      </c>
      <c r="E486">
        <f>VLOOKUP(C486,CategoryMap,2,0)</f>
        <v/>
      </c>
      <c r="F486">
        <f>VLOOKUP(D486,CategoryMap,2,0)</f>
        <v/>
      </c>
      <c r="G486">
        <f>ABS(E486-F486)</f>
        <v/>
      </c>
      <c r="H486">
        <f>IF(G486=0,"Yes","No")</f>
        <v/>
      </c>
      <c r="I486" t="inlineStr">
        <is>
          <t>Partial</t>
        </is>
      </c>
      <c r="J486">
        <f>IF(I486="","",IF(AND(I486=C486,I486=D486),"Both",IF(I486=C486,"Opus",IF(I486=D486,"Sonnet","Neither"))))</f>
        <v/>
      </c>
    </row>
    <row r="487">
      <c r="A487" t="inlineStr">
        <is>
          <t>R151</t>
        </is>
      </c>
      <c r="B487" t="inlineStr">
        <is>
          <t>Q6</t>
        </is>
      </c>
      <c r="C487" t="inlineStr">
        <is>
          <t>Partial</t>
        </is>
      </c>
      <c r="D487" t="inlineStr">
        <is>
          <t>Yes</t>
        </is>
      </c>
      <c r="E487">
        <f>VLOOKUP(C487,CategoryMap,2,0)</f>
        <v/>
      </c>
      <c r="F487">
        <f>VLOOKUP(D487,CategoryMap,2,0)</f>
        <v/>
      </c>
      <c r="G487">
        <f>ABS(E487-F487)</f>
        <v/>
      </c>
      <c r="H487">
        <f>IF(G487=0,"Yes","No")</f>
        <v/>
      </c>
      <c r="I487" t="inlineStr">
        <is>
          <t>Partial</t>
        </is>
      </c>
      <c r="J487">
        <f>IF(I487="","",IF(AND(I487=C487,I487=D487),"Both",IF(I487=C487,"Opus",IF(I487=D487,"Sonnet","Neither"))))</f>
        <v/>
      </c>
    </row>
    <row r="488">
      <c r="A488" t="inlineStr">
        <is>
          <t>R151</t>
        </is>
      </c>
      <c r="B488" t="inlineStr">
        <is>
          <t>Q7</t>
        </is>
      </c>
      <c r="C488" t="inlineStr">
        <is>
          <t>No</t>
        </is>
      </c>
      <c r="D488" t="inlineStr">
        <is>
          <t>Partial</t>
        </is>
      </c>
      <c r="E488">
        <f>VLOOKUP(C488,CategoryMap,2,0)</f>
        <v/>
      </c>
      <c r="F488">
        <f>VLOOKUP(D488,CategoryMap,2,0)</f>
        <v/>
      </c>
      <c r="G488">
        <f>ABS(E488-F488)</f>
        <v/>
      </c>
      <c r="H488">
        <f>IF(G488=0,"Yes","No")</f>
        <v/>
      </c>
      <c r="I488" t="inlineStr">
        <is>
          <t>No</t>
        </is>
      </c>
      <c r="J488">
        <f>IF(I488="","",IF(AND(I488=C488,I488=D488),"Both",IF(I488=C488,"Opus",IF(I488=D488,"Sonnet","Neither"))))</f>
        <v/>
      </c>
    </row>
    <row r="489">
      <c r="A489" t="inlineStr">
        <is>
          <t>R151</t>
        </is>
      </c>
      <c r="B489" t="inlineStr">
        <is>
          <t>Q8</t>
        </is>
      </c>
      <c r="C489" t="inlineStr">
        <is>
          <t>Partial</t>
        </is>
      </c>
      <c r="D489" t="inlineStr">
        <is>
          <t>Partial</t>
        </is>
      </c>
      <c r="E489">
        <f>VLOOKUP(C489,CategoryMap,2,0)</f>
        <v/>
      </c>
      <c r="F489">
        <f>VLOOKUP(D489,CategoryMap,2,0)</f>
        <v/>
      </c>
      <c r="G489">
        <f>ABS(E489-F489)</f>
        <v/>
      </c>
      <c r="H489">
        <f>IF(G489=0,"Yes","No")</f>
        <v/>
      </c>
      <c r="I489" t="inlineStr">
        <is>
          <t>Partial</t>
        </is>
      </c>
      <c r="J489">
        <f>IF(I489="","",IF(AND(I489=C489,I489=D489),"Both",IF(I489=C489,"Opus",IF(I489=D489,"Sonnet","Neither"))))</f>
        <v/>
      </c>
    </row>
    <row r="490">
      <c r="A490" t="inlineStr">
        <is>
          <t>R152</t>
        </is>
      </c>
      <c r="B490" t="inlineStr">
        <is>
          <t>Q1</t>
        </is>
      </c>
      <c r="C490" t="inlineStr">
        <is>
          <t>Partial</t>
        </is>
      </c>
      <c r="D490" t="inlineStr">
        <is>
          <t>No</t>
        </is>
      </c>
      <c r="E490">
        <f>VLOOKUP(C490,CategoryMap,2,0)</f>
        <v/>
      </c>
      <c r="F490">
        <f>VLOOKUP(D490,CategoryMap,2,0)</f>
        <v/>
      </c>
      <c r="G490">
        <f>ABS(E490-F490)</f>
        <v/>
      </c>
      <c r="H490">
        <f>IF(G490=0,"Yes","No")</f>
        <v/>
      </c>
      <c r="I490" t="inlineStr">
        <is>
          <t>Partial</t>
        </is>
      </c>
      <c r="J490">
        <f>IF(I490="","",IF(AND(I490=C490,I490=D490),"Both",IF(I490=C490,"Opus",IF(I490=D490,"Sonnet","Neither"))))</f>
        <v/>
      </c>
    </row>
    <row r="491">
      <c r="A491" t="inlineStr">
        <is>
          <t>R152</t>
        </is>
      </c>
      <c r="B491" t="inlineStr">
        <is>
          <t>Q2</t>
        </is>
      </c>
      <c r="C491" t="inlineStr">
        <is>
          <t>Yes</t>
        </is>
      </c>
      <c r="D491" t="inlineStr">
        <is>
          <t>Partial</t>
        </is>
      </c>
      <c r="E491">
        <f>VLOOKUP(C491,CategoryMap,2,0)</f>
        <v/>
      </c>
      <c r="F491">
        <f>VLOOKUP(D491,CategoryMap,2,0)</f>
        <v/>
      </c>
      <c r="G491">
        <f>ABS(E491-F491)</f>
        <v/>
      </c>
      <c r="H491">
        <f>IF(G491=0,"Yes","No")</f>
        <v/>
      </c>
      <c r="I491" t="inlineStr">
        <is>
          <t>Yes</t>
        </is>
      </c>
      <c r="J491">
        <f>IF(I491="","",IF(AND(I491=C491,I491=D491),"Both",IF(I491=C491,"Opus",IF(I491=D491,"Sonnet","Neither"))))</f>
        <v/>
      </c>
    </row>
    <row r="492">
      <c r="A492" t="inlineStr">
        <is>
          <t>R152</t>
        </is>
      </c>
      <c r="B492" t="inlineStr">
        <is>
          <t>Q3</t>
        </is>
      </c>
      <c r="C492" t="inlineStr">
        <is>
          <t>Yes</t>
        </is>
      </c>
      <c r="D492" t="inlineStr">
        <is>
          <t>Partial</t>
        </is>
      </c>
      <c r="E492">
        <f>VLOOKUP(C492,CategoryMap,2,0)</f>
        <v/>
      </c>
      <c r="F492">
        <f>VLOOKUP(D492,CategoryMap,2,0)</f>
        <v/>
      </c>
      <c r="G492">
        <f>ABS(E492-F492)</f>
        <v/>
      </c>
      <c r="H492">
        <f>IF(G492=0,"Yes","No")</f>
        <v/>
      </c>
      <c r="I492" t="inlineStr">
        <is>
          <t>Yes</t>
        </is>
      </c>
      <c r="J492">
        <f>IF(I492="","",IF(AND(I492=C492,I492=D492),"Both",IF(I492=C492,"Opus",IF(I492=D492,"Sonnet","Neither"))))</f>
        <v/>
      </c>
    </row>
    <row r="493">
      <c r="A493" t="inlineStr">
        <is>
          <t>R152</t>
        </is>
      </c>
      <c r="B493" t="inlineStr">
        <is>
          <t>Q4</t>
        </is>
      </c>
      <c r="C493" t="inlineStr">
        <is>
          <t>Partial</t>
        </is>
      </c>
      <c r="D493" t="inlineStr">
        <is>
          <t>Yes</t>
        </is>
      </c>
      <c r="E493">
        <f>VLOOKUP(C493,CategoryMap,2,0)</f>
        <v/>
      </c>
      <c r="F493">
        <f>VLOOKUP(D493,CategoryMap,2,0)</f>
        <v/>
      </c>
      <c r="G493">
        <f>ABS(E493-F493)</f>
        <v/>
      </c>
      <c r="H493">
        <f>IF(G493=0,"Yes","No")</f>
        <v/>
      </c>
      <c r="I493" t="inlineStr">
        <is>
          <t>Partial</t>
        </is>
      </c>
      <c r="J493">
        <f>IF(I493="","",IF(AND(I493=C493,I493=D493),"Both",IF(I493=C493,"Opus",IF(I493=D493,"Sonnet","Neither"))))</f>
        <v/>
      </c>
    </row>
    <row r="494">
      <c r="A494" t="inlineStr">
        <is>
          <t>R152</t>
        </is>
      </c>
      <c r="B494" t="inlineStr">
        <is>
          <t>Q5</t>
        </is>
      </c>
      <c r="C494" t="inlineStr">
        <is>
          <t>Partial</t>
        </is>
      </c>
      <c r="D494" t="inlineStr">
        <is>
          <t>Partial</t>
        </is>
      </c>
      <c r="E494">
        <f>VLOOKUP(C494,CategoryMap,2,0)</f>
        <v/>
      </c>
      <c r="F494">
        <f>VLOOKUP(D494,CategoryMap,2,0)</f>
        <v/>
      </c>
      <c r="G494">
        <f>ABS(E494-F494)</f>
        <v/>
      </c>
      <c r="H494">
        <f>IF(G494=0,"Yes","No")</f>
        <v/>
      </c>
      <c r="I494" t="inlineStr">
        <is>
          <t>Partial</t>
        </is>
      </c>
      <c r="J494">
        <f>IF(I494="","",IF(AND(I494=C494,I494=D494),"Both",IF(I494=C494,"Opus",IF(I494=D494,"Sonnet","Neither"))))</f>
        <v/>
      </c>
    </row>
    <row r="495">
      <c r="A495" t="inlineStr">
        <is>
          <t>R152</t>
        </is>
      </c>
      <c r="B495" t="inlineStr">
        <is>
          <t>Q6</t>
        </is>
      </c>
      <c r="C495" t="inlineStr">
        <is>
          <t>Partial</t>
        </is>
      </c>
      <c r="D495" t="inlineStr">
        <is>
          <t>No</t>
        </is>
      </c>
      <c r="E495">
        <f>VLOOKUP(C495,CategoryMap,2,0)</f>
        <v/>
      </c>
      <c r="F495">
        <f>VLOOKUP(D495,CategoryMap,2,0)</f>
        <v/>
      </c>
      <c r="G495">
        <f>ABS(E495-F495)</f>
        <v/>
      </c>
      <c r="H495">
        <f>IF(G495=0,"Yes","No")</f>
        <v/>
      </c>
      <c r="I495" t="inlineStr">
        <is>
          <t>Partial</t>
        </is>
      </c>
      <c r="J495">
        <f>IF(I495="","",IF(AND(I495=C495,I495=D495),"Both",IF(I495=C495,"Opus",IF(I495=D495,"Sonnet","Neither"))))</f>
        <v/>
      </c>
    </row>
    <row r="496">
      <c r="A496" t="inlineStr">
        <is>
          <t>R152</t>
        </is>
      </c>
      <c r="B496" t="inlineStr">
        <is>
          <t>Q7</t>
        </is>
      </c>
      <c r="C496" t="inlineStr">
        <is>
          <t>Yes</t>
        </is>
      </c>
      <c r="D496" t="inlineStr">
        <is>
          <t>Yes</t>
        </is>
      </c>
      <c r="E496">
        <f>VLOOKUP(C496,CategoryMap,2,0)</f>
        <v/>
      </c>
      <c r="F496">
        <f>VLOOKUP(D496,CategoryMap,2,0)</f>
        <v/>
      </c>
      <c r="G496">
        <f>ABS(E496-F496)</f>
        <v/>
      </c>
      <c r="H496">
        <f>IF(G496=0,"Yes","No")</f>
        <v/>
      </c>
      <c r="I496" t="inlineStr">
        <is>
          <t>Yes</t>
        </is>
      </c>
      <c r="J496">
        <f>IF(I496="","",IF(AND(I496=C496,I496=D496),"Both",IF(I496=C496,"Opus",IF(I496=D496,"Sonnet","Neither"))))</f>
        <v/>
      </c>
    </row>
    <row r="497">
      <c r="A497" t="inlineStr">
        <is>
          <t>R152</t>
        </is>
      </c>
      <c r="B497" t="inlineStr">
        <is>
          <t>Q8</t>
        </is>
      </c>
      <c r="C497" t="inlineStr">
        <is>
          <t>Partial</t>
        </is>
      </c>
      <c r="D497" t="inlineStr">
        <is>
          <t>No</t>
        </is>
      </c>
      <c r="E497">
        <f>VLOOKUP(C497,CategoryMap,2,0)</f>
        <v/>
      </c>
      <c r="F497">
        <f>VLOOKUP(D497,CategoryMap,2,0)</f>
        <v/>
      </c>
      <c r="G497">
        <f>ABS(E497-F497)</f>
        <v/>
      </c>
      <c r="H497">
        <f>IF(G497=0,"Yes","No")</f>
        <v/>
      </c>
      <c r="I497" t="inlineStr">
        <is>
          <t>No</t>
        </is>
      </c>
      <c r="J497">
        <f>IF(I497="","",IF(AND(I497=C497,I497=D497),"Both",IF(I497=C497,"Opus",IF(I497=D497,"Sonnet","Neither"))))</f>
        <v/>
      </c>
    </row>
    <row r="498">
      <c r="A498" t="inlineStr">
        <is>
          <t>R157</t>
        </is>
      </c>
      <c r="B498" t="inlineStr">
        <is>
          <t>Q1</t>
        </is>
      </c>
      <c r="C498" t="inlineStr">
        <is>
          <t>Partial</t>
        </is>
      </c>
      <c r="D498" t="inlineStr">
        <is>
          <t>Partial</t>
        </is>
      </c>
      <c r="E498">
        <f>VLOOKUP(C498,CategoryMap,2,0)</f>
        <v/>
      </c>
      <c r="F498">
        <f>VLOOKUP(D498,CategoryMap,2,0)</f>
        <v/>
      </c>
      <c r="G498">
        <f>ABS(E498-F498)</f>
        <v/>
      </c>
      <c r="H498">
        <f>IF(G498=0,"Yes","No")</f>
        <v/>
      </c>
      <c r="I498" t="inlineStr">
        <is>
          <t>Partial</t>
        </is>
      </c>
      <c r="J498">
        <f>IF(I498="","",IF(AND(I498=C498,I498=D498),"Both",IF(I498=C498,"Opus",IF(I498=D498,"Sonnet","Neither"))))</f>
        <v/>
      </c>
    </row>
    <row r="499">
      <c r="A499" t="inlineStr">
        <is>
          <t>R157</t>
        </is>
      </c>
      <c r="B499" t="inlineStr">
        <is>
          <t>Q2</t>
        </is>
      </c>
      <c r="C499" t="inlineStr">
        <is>
          <t>Yes</t>
        </is>
      </c>
      <c r="D499" t="inlineStr">
        <is>
          <t>Partial</t>
        </is>
      </c>
      <c r="E499">
        <f>VLOOKUP(C499,CategoryMap,2,0)</f>
        <v/>
      </c>
      <c r="F499">
        <f>VLOOKUP(D499,CategoryMap,2,0)</f>
        <v/>
      </c>
      <c r="G499">
        <f>ABS(E499-F499)</f>
        <v/>
      </c>
      <c r="H499">
        <f>IF(G499=0,"Yes","No")</f>
        <v/>
      </c>
      <c r="I499" t="inlineStr">
        <is>
          <t>Partial</t>
        </is>
      </c>
      <c r="J499">
        <f>IF(I499="","",IF(AND(I499=C499,I499=D499),"Both",IF(I499=C499,"Opus",IF(I499=D499,"Sonnet","Neither"))))</f>
        <v/>
      </c>
    </row>
    <row r="500">
      <c r="A500" t="inlineStr">
        <is>
          <t>R157</t>
        </is>
      </c>
      <c r="B500" t="inlineStr">
        <is>
          <t>Q3</t>
        </is>
      </c>
      <c r="C500" t="inlineStr">
        <is>
          <t>Yes</t>
        </is>
      </c>
      <c r="D500" t="inlineStr">
        <is>
          <t>Yes</t>
        </is>
      </c>
      <c r="E500">
        <f>VLOOKUP(C500,CategoryMap,2,0)</f>
        <v/>
      </c>
      <c r="F500">
        <f>VLOOKUP(D500,CategoryMap,2,0)</f>
        <v/>
      </c>
      <c r="G500">
        <f>ABS(E500-F500)</f>
        <v/>
      </c>
      <c r="H500">
        <f>IF(G500=0,"Yes","No")</f>
        <v/>
      </c>
      <c r="I500" t="inlineStr">
        <is>
          <t>Yes</t>
        </is>
      </c>
      <c r="J500">
        <f>IF(I500="","",IF(AND(I500=C500,I500=D500),"Both",IF(I500=C500,"Opus",IF(I500=D500,"Sonnet","Neither"))))</f>
        <v/>
      </c>
    </row>
    <row r="501">
      <c r="A501" t="inlineStr">
        <is>
          <t>R157</t>
        </is>
      </c>
      <c r="B501" t="inlineStr">
        <is>
          <t>Q4</t>
        </is>
      </c>
      <c r="C501" t="inlineStr">
        <is>
          <t>Partial</t>
        </is>
      </c>
      <c r="D501" t="inlineStr">
        <is>
          <t>Yes</t>
        </is>
      </c>
      <c r="E501">
        <f>VLOOKUP(C501,CategoryMap,2,0)</f>
        <v/>
      </c>
      <c r="F501">
        <f>VLOOKUP(D501,CategoryMap,2,0)</f>
        <v/>
      </c>
      <c r="G501">
        <f>ABS(E501-F501)</f>
        <v/>
      </c>
      <c r="H501">
        <f>IF(G501=0,"Yes","No")</f>
        <v/>
      </c>
      <c r="I501" t="inlineStr">
        <is>
          <t>Partial</t>
        </is>
      </c>
      <c r="J501">
        <f>IF(I501="","",IF(AND(I501=C501,I501=D501),"Both",IF(I501=C501,"Opus",IF(I501=D501,"Sonnet","Neither"))))</f>
        <v/>
      </c>
    </row>
    <row r="502">
      <c r="A502" t="inlineStr">
        <is>
          <t>R157</t>
        </is>
      </c>
      <c r="B502" t="inlineStr">
        <is>
          <t>Q5</t>
        </is>
      </c>
      <c r="C502" t="inlineStr">
        <is>
          <t>Partial</t>
        </is>
      </c>
      <c r="D502" t="inlineStr">
        <is>
          <t>Yes</t>
        </is>
      </c>
      <c r="E502">
        <f>VLOOKUP(C502,CategoryMap,2,0)</f>
        <v/>
      </c>
      <c r="F502">
        <f>VLOOKUP(D502,CategoryMap,2,0)</f>
        <v/>
      </c>
      <c r="G502">
        <f>ABS(E502-F502)</f>
        <v/>
      </c>
      <c r="H502">
        <f>IF(G502=0,"Yes","No")</f>
        <v/>
      </c>
      <c r="I502" t="inlineStr">
        <is>
          <t>Partial</t>
        </is>
      </c>
      <c r="J502">
        <f>IF(I502="","",IF(AND(I502=C502,I502=D502),"Both",IF(I502=C502,"Opus",IF(I502=D502,"Sonnet","Neither"))))</f>
        <v/>
      </c>
    </row>
    <row r="503">
      <c r="A503" t="inlineStr">
        <is>
          <t>R157</t>
        </is>
      </c>
      <c r="B503" t="inlineStr">
        <is>
          <t>Q6</t>
        </is>
      </c>
      <c r="C503" t="inlineStr">
        <is>
          <t>Partial</t>
        </is>
      </c>
      <c r="D503" t="inlineStr">
        <is>
          <t>Partial</t>
        </is>
      </c>
      <c r="E503">
        <f>VLOOKUP(C503,CategoryMap,2,0)</f>
        <v/>
      </c>
      <c r="F503">
        <f>VLOOKUP(D503,CategoryMap,2,0)</f>
        <v/>
      </c>
      <c r="G503">
        <f>ABS(E503-F503)</f>
        <v/>
      </c>
      <c r="H503">
        <f>IF(G503=0,"Yes","No")</f>
        <v/>
      </c>
      <c r="I503" t="inlineStr">
        <is>
          <t>Partial</t>
        </is>
      </c>
      <c r="J503">
        <f>IF(I503="","",IF(AND(I503=C503,I503=D503),"Both",IF(I503=C503,"Opus",IF(I503=D503,"Sonnet","Neither"))))</f>
        <v/>
      </c>
    </row>
    <row r="504">
      <c r="A504" t="inlineStr">
        <is>
          <t>R157</t>
        </is>
      </c>
      <c r="B504" t="inlineStr">
        <is>
          <t>Q7</t>
        </is>
      </c>
      <c r="C504" t="inlineStr">
        <is>
          <t>Yes</t>
        </is>
      </c>
      <c r="D504" t="inlineStr">
        <is>
          <t>Yes</t>
        </is>
      </c>
      <c r="E504">
        <f>VLOOKUP(C504,CategoryMap,2,0)</f>
        <v/>
      </c>
      <c r="F504">
        <f>VLOOKUP(D504,CategoryMap,2,0)</f>
        <v/>
      </c>
      <c r="G504">
        <f>ABS(E504-F504)</f>
        <v/>
      </c>
      <c r="H504">
        <f>IF(G504=0,"Yes","No")</f>
        <v/>
      </c>
      <c r="I504" t="inlineStr">
        <is>
          <t>Yes</t>
        </is>
      </c>
      <c r="J504">
        <f>IF(I504="","",IF(AND(I504=C504,I504=D504),"Both",IF(I504=C504,"Opus",IF(I504=D504,"Sonnet","Neither"))))</f>
        <v/>
      </c>
    </row>
    <row r="505">
      <c r="A505" t="inlineStr">
        <is>
          <t>R157</t>
        </is>
      </c>
      <c r="B505" t="inlineStr">
        <is>
          <t>Q8</t>
        </is>
      </c>
      <c r="C505" t="inlineStr">
        <is>
          <t>Partial</t>
        </is>
      </c>
      <c r="D505" t="inlineStr">
        <is>
          <t>Partial</t>
        </is>
      </c>
      <c r="E505">
        <f>VLOOKUP(C505,CategoryMap,2,0)</f>
        <v/>
      </c>
      <c r="F505">
        <f>VLOOKUP(D505,CategoryMap,2,0)</f>
        <v/>
      </c>
      <c r="G505">
        <f>ABS(E505-F505)</f>
        <v/>
      </c>
      <c r="H505">
        <f>IF(G505=0,"Yes","No")</f>
        <v/>
      </c>
      <c r="I505" t="inlineStr">
        <is>
          <t>Partial</t>
        </is>
      </c>
      <c r="J505">
        <f>IF(I505="","",IF(AND(I505=C505,I505=D505),"Both",IF(I505=C505,"Opus",IF(I505=D505,"Sonnet","Neither"))))</f>
        <v/>
      </c>
    </row>
    <row r="506">
      <c r="A506" t="inlineStr">
        <is>
          <t>R159</t>
        </is>
      </c>
      <c r="B506" t="inlineStr">
        <is>
          <t>Q1</t>
        </is>
      </c>
      <c r="C506" t="inlineStr">
        <is>
          <t>Partial</t>
        </is>
      </c>
      <c r="D506" t="inlineStr">
        <is>
          <t>Partial</t>
        </is>
      </c>
      <c r="E506">
        <f>VLOOKUP(C506,CategoryMap,2,0)</f>
        <v/>
      </c>
      <c r="F506">
        <f>VLOOKUP(D506,CategoryMap,2,0)</f>
        <v/>
      </c>
      <c r="G506">
        <f>ABS(E506-F506)</f>
        <v/>
      </c>
      <c r="H506">
        <f>IF(G506=0,"Yes","No")</f>
        <v/>
      </c>
      <c r="I506" t="inlineStr">
        <is>
          <t>Partial</t>
        </is>
      </c>
      <c r="J506">
        <f>IF(I506="","",IF(AND(I506=C506,I506=D506),"Both",IF(I506=C506,"Opus",IF(I506=D506,"Sonnet","Neither"))))</f>
        <v/>
      </c>
    </row>
    <row r="507">
      <c r="A507" t="inlineStr">
        <is>
          <t>R159</t>
        </is>
      </c>
      <c r="B507" t="inlineStr">
        <is>
          <t>Q2</t>
        </is>
      </c>
      <c r="C507" t="inlineStr">
        <is>
          <t>Partial</t>
        </is>
      </c>
      <c r="D507" t="inlineStr">
        <is>
          <t>Partial</t>
        </is>
      </c>
      <c r="E507">
        <f>VLOOKUP(C507,CategoryMap,2,0)</f>
        <v/>
      </c>
      <c r="F507">
        <f>VLOOKUP(D507,CategoryMap,2,0)</f>
        <v/>
      </c>
      <c r="G507">
        <f>ABS(E507-F507)</f>
        <v/>
      </c>
      <c r="H507">
        <f>IF(G507=0,"Yes","No")</f>
        <v/>
      </c>
      <c r="I507" t="inlineStr">
        <is>
          <t>Partial</t>
        </is>
      </c>
      <c r="J507">
        <f>IF(I507="","",IF(AND(I507=C507,I507=D507),"Both",IF(I507=C507,"Opus",IF(I507=D507,"Sonnet","Neither"))))</f>
        <v/>
      </c>
    </row>
    <row r="508">
      <c r="A508" t="inlineStr">
        <is>
          <t>R159</t>
        </is>
      </c>
      <c r="B508" t="inlineStr">
        <is>
          <t>Q3</t>
        </is>
      </c>
      <c r="C508" t="inlineStr">
        <is>
          <t>Partial</t>
        </is>
      </c>
      <c r="D508" t="inlineStr">
        <is>
          <t>Partial</t>
        </is>
      </c>
      <c r="E508">
        <f>VLOOKUP(C508,CategoryMap,2,0)</f>
        <v/>
      </c>
      <c r="F508">
        <f>VLOOKUP(D508,CategoryMap,2,0)</f>
        <v/>
      </c>
      <c r="G508">
        <f>ABS(E508-F508)</f>
        <v/>
      </c>
      <c r="H508">
        <f>IF(G508=0,"Yes","No")</f>
        <v/>
      </c>
      <c r="I508" t="inlineStr">
        <is>
          <t>Partial</t>
        </is>
      </c>
      <c r="J508">
        <f>IF(I508="","",IF(AND(I508=C508,I508=D508),"Both",IF(I508=C508,"Opus",IF(I508=D508,"Sonnet","Neither"))))</f>
        <v/>
      </c>
    </row>
    <row r="509">
      <c r="A509" t="inlineStr">
        <is>
          <t>R159</t>
        </is>
      </c>
      <c r="B509" t="inlineStr">
        <is>
          <t>Q4</t>
        </is>
      </c>
      <c r="C509" t="inlineStr">
        <is>
          <t>No</t>
        </is>
      </c>
      <c r="D509" t="inlineStr">
        <is>
          <t>Partial</t>
        </is>
      </c>
      <c r="E509">
        <f>VLOOKUP(C509,CategoryMap,2,0)</f>
        <v/>
      </c>
      <c r="F509">
        <f>VLOOKUP(D509,CategoryMap,2,0)</f>
        <v/>
      </c>
      <c r="G509">
        <f>ABS(E509-F509)</f>
        <v/>
      </c>
      <c r="H509">
        <f>IF(G509=0,"Yes","No")</f>
        <v/>
      </c>
      <c r="I509" t="inlineStr">
        <is>
          <t>No</t>
        </is>
      </c>
      <c r="J509">
        <f>IF(I509="","",IF(AND(I509=C509,I509=D509),"Both",IF(I509=C509,"Opus",IF(I509=D509,"Sonnet","Neither"))))</f>
        <v/>
      </c>
    </row>
    <row r="510">
      <c r="A510" t="inlineStr">
        <is>
          <t>R159</t>
        </is>
      </c>
      <c r="B510" t="inlineStr">
        <is>
          <t>Q5</t>
        </is>
      </c>
      <c r="C510" t="inlineStr">
        <is>
          <t>Yes</t>
        </is>
      </c>
      <c r="D510" t="inlineStr">
        <is>
          <t>Yes</t>
        </is>
      </c>
      <c r="E510">
        <f>VLOOKUP(C510,CategoryMap,2,0)</f>
        <v/>
      </c>
      <c r="F510">
        <f>VLOOKUP(D510,CategoryMap,2,0)</f>
        <v/>
      </c>
      <c r="G510">
        <f>ABS(E510-F510)</f>
        <v/>
      </c>
      <c r="H510">
        <f>IF(G510=0,"Yes","No")</f>
        <v/>
      </c>
      <c r="I510" t="inlineStr">
        <is>
          <t>Yes</t>
        </is>
      </c>
      <c r="J510">
        <f>IF(I510="","",IF(AND(I510=C510,I510=D510),"Both",IF(I510=C510,"Opus",IF(I510=D510,"Sonnet","Neither"))))</f>
        <v/>
      </c>
    </row>
    <row r="511">
      <c r="A511" t="inlineStr">
        <is>
          <t>R159</t>
        </is>
      </c>
      <c r="B511" t="inlineStr">
        <is>
          <t>Q6</t>
        </is>
      </c>
      <c r="C511" t="inlineStr">
        <is>
          <t>Yes</t>
        </is>
      </c>
      <c r="D511" t="inlineStr">
        <is>
          <t>Yes</t>
        </is>
      </c>
      <c r="E511">
        <f>VLOOKUP(C511,CategoryMap,2,0)</f>
        <v/>
      </c>
      <c r="F511">
        <f>VLOOKUP(D511,CategoryMap,2,0)</f>
        <v/>
      </c>
      <c r="G511">
        <f>ABS(E511-F511)</f>
        <v/>
      </c>
      <c r="H511">
        <f>IF(G511=0,"Yes","No")</f>
        <v/>
      </c>
      <c r="I511" t="inlineStr">
        <is>
          <t>Yes</t>
        </is>
      </c>
      <c r="J511">
        <f>IF(I511="","",IF(AND(I511=C511,I511=D511),"Both",IF(I511=C511,"Opus",IF(I511=D511,"Sonnet","Neither"))))</f>
        <v/>
      </c>
    </row>
    <row r="512">
      <c r="A512" t="inlineStr">
        <is>
          <t>R159</t>
        </is>
      </c>
      <c r="B512" t="inlineStr">
        <is>
          <t>Q7</t>
        </is>
      </c>
      <c r="C512" t="inlineStr">
        <is>
          <t>Partial</t>
        </is>
      </c>
      <c r="D512" t="inlineStr">
        <is>
          <t>Yes</t>
        </is>
      </c>
      <c r="E512">
        <f>VLOOKUP(C512,CategoryMap,2,0)</f>
        <v/>
      </c>
      <c r="F512">
        <f>VLOOKUP(D512,CategoryMap,2,0)</f>
        <v/>
      </c>
      <c r="G512">
        <f>ABS(E512-F512)</f>
        <v/>
      </c>
      <c r="H512">
        <f>IF(G512=0,"Yes","No")</f>
        <v/>
      </c>
      <c r="I512" t="inlineStr">
        <is>
          <t>Partial</t>
        </is>
      </c>
      <c r="J512">
        <f>IF(I512="","",IF(AND(I512=C512,I512=D512),"Both",IF(I512=C512,"Opus",IF(I512=D512,"Sonnet","Neither"))))</f>
        <v/>
      </c>
    </row>
    <row r="513">
      <c r="A513" t="inlineStr">
        <is>
          <t>R159</t>
        </is>
      </c>
      <c r="B513" t="inlineStr">
        <is>
          <t>Q8</t>
        </is>
      </c>
      <c r="C513" t="inlineStr">
        <is>
          <t>No</t>
        </is>
      </c>
      <c r="D513" t="inlineStr">
        <is>
          <t>No</t>
        </is>
      </c>
      <c r="E513">
        <f>VLOOKUP(C513,CategoryMap,2,0)</f>
        <v/>
      </c>
      <c r="F513">
        <f>VLOOKUP(D513,CategoryMap,2,0)</f>
        <v/>
      </c>
      <c r="G513">
        <f>ABS(E513-F513)</f>
        <v/>
      </c>
      <c r="H513">
        <f>IF(G513=0,"Yes","No")</f>
        <v/>
      </c>
      <c r="I513" t="inlineStr">
        <is>
          <t>No</t>
        </is>
      </c>
      <c r="J513">
        <f>IF(I513="","",IF(AND(I513=C513,I513=D513),"Both",IF(I513=C513,"Opus",IF(I513=D513,"Sonnet","Neither"))))</f>
        <v/>
      </c>
    </row>
    <row r="514">
      <c r="A514" t="inlineStr">
        <is>
          <t>R163</t>
        </is>
      </c>
      <c r="B514" t="inlineStr">
        <is>
          <t>Q1</t>
        </is>
      </c>
      <c r="C514" t="inlineStr">
        <is>
          <t>No</t>
        </is>
      </c>
      <c r="D514" t="inlineStr">
        <is>
          <t>No</t>
        </is>
      </c>
      <c r="E514">
        <f>VLOOKUP(C514,CategoryMap,2,0)</f>
        <v/>
      </c>
      <c r="F514">
        <f>VLOOKUP(D514,CategoryMap,2,0)</f>
        <v/>
      </c>
      <c r="G514">
        <f>ABS(E514-F514)</f>
        <v/>
      </c>
      <c r="H514">
        <f>IF(G514=0,"Yes","No")</f>
        <v/>
      </c>
      <c r="I514" t="inlineStr">
        <is>
          <t>No</t>
        </is>
      </c>
      <c r="J514">
        <f>IF(I514="","",IF(AND(I514=C514,I514=D514),"Both",IF(I514=C514,"Opus",IF(I514=D514,"Sonnet","Neither"))))</f>
        <v/>
      </c>
    </row>
    <row r="515">
      <c r="A515" t="inlineStr">
        <is>
          <t>R163</t>
        </is>
      </c>
      <c r="B515" t="inlineStr">
        <is>
          <t>Q2</t>
        </is>
      </c>
      <c r="C515" t="inlineStr">
        <is>
          <t>Partial</t>
        </is>
      </c>
      <c r="D515" t="inlineStr">
        <is>
          <t>No</t>
        </is>
      </c>
      <c r="E515">
        <f>VLOOKUP(C515,CategoryMap,2,0)</f>
        <v/>
      </c>
      <c r="F515">
        <f>VLOOKUP(D515,CategoryMap,2,0)</f>
        <v/>
      </c>
      <c r="G515">
        <f>ABS(E515-F515)</f>
        <v/>
      </c>
      <c r="H515">
        <f>IF(G515=0,"Yes","No")</f>
        <v/>
      </c>
      <c r="I515" t="inlineStr">
        <is>
          <t>Partial</t>
        </is>
      </c>
      <c r="J515">
        <f>IF(I515="","",IF(AND(I515=C515,I515=D515),"Both",IF(I515=C515,"Opus",IF(I515=D515,"Sonnet","Neither"))))</f>
        <v/>
      </c>
    </row>
    <row r="516">
      <c r="A516" t="inlineStr">
        <is>
          <t>R163</t>
        </is>
      </c>
      <c r="B516" t="inlineStr">
        <is>
          <t>Q3</t>
        </is>
      </c>
      <c r="C516" t="inlineStr">
        <is>
          <t>Partial</t>
        </is>
      </c>
      <c r="D516" t="inlineStr">
        <is>
          <t>No</t>
        </is>
      </c>
      <c r="E516">
        <f>VLOOKUP(C516,CategoryMap,2,0)</f>
        <v/>
      </c>
      <c r="F516">
        <f>VLOOKUP(D516,CategoryMap,2,0)</f>
        <v/>
      </c>
      <c r="G516">
        <f>ABS(E516-F516)</f>
        <v/>
      </c>
      <c r="H516">
        <f>IF(G516=0,"Yes","No")</f>
        <v/>
      </c>
      <c r="I516" t="inlineStr">
        <is>
          <t>No</t>
        </is>
      </c>
      <c r="J516">
        <f>IF(I516="","",IF(AND(I516=C516,I516=D516),"Both",IF(I516=C516,"Opus",IF(I516=D516,"Sonnet","Neither"))))</f>
        <v/>
      </c>
    </row>
    <row r="517">
      <c r="A517" t="inlineStr">
        <is>
          <t>R163</t>
        </is>
      </c>
      <c r="B517" t="inlineStr">
        <is>
          <t>Q4</t>
        </is>
      </c>
      <c r="C517" t="inlineStr">
        <is>
          <t>No</t>
        </is>
      </c>
      <c r="D517" t="inlineStr">
        <is>
          <t>No</t>
        </is>
      </c>
      <c r="E517">
        <f>VLOOKUP(C517,CategoryMap,2,0)</f>
        <v/>
      </c>
      <c r="F517">
        <f>VLOOKUP(D517,CategoryMap,2,0)</f>
        <v/>
      </c>
      <c r="G517">
        <f>ABS(E517-F517)</f>
        <v/>
      </c>
      <c r="H517">
        <f>IF(G517=0,"Yes","No")</f>
        <v/>
      </c>
      <c r="I517" t="inlineStr">
        <is>
          <t>No</t>
        </is>
      </c>
      <c r="J517">
        <f>IF(I517="","",IF(AND(I517=C517,I517=D517),"Both",IF(I517=C517,"Opus",IF(I517=D517,"Sonnet","Neither"))))</f>
        <v/>
      </c>
    </row>
    <row r="518">
      <c r="A518" t="inlineStr">
        <is>
          <t>R163</t>
        </is>
      </c>
      <c r="B518" t="inlineStr">
        <is>
          <t>Q5</t>
        </is>
      </c>
      <c r="C518" t="inlineStr">
        <is>
          <t>No</t>
        </is>
      </c>
      <c r="D518" t="inlineStr">
        <is>
          <t>No</t>
        </is>
      </c>
      <c r="E518">
        <f>VLOOKUP(C518,CategoryMap,2,0)</f>
        <v/>
      </c>
      <c r="F518">
        <f>VLOOKUP(D518,CategoryMap,2,0)</f>
        <v/>
      </c>
      <c r="G518">
        <f>ABS(E518-F518)</f>
        <v/>
      </c>
      <c r="H518">
        <f>IF(G518=0,"Yes","No")</f>
        <v/>
      </c>
      <c r="I518" t="inlineStr">
        <is>
          <t>No</t>
        </is>
      </c>
      <c r="J518">
        <f>IF(I518="","",IF(AND(I518=C518,I518=D518),"Both",IF(I518=C518,"Opus",IF(I518=D518,"Sonnet","Neither"))))</f>
        <v/>
      </c>
    </row>
    <row r="519">
      <c r="A519" t="inlineStr">
        <is>
          <t>R163</t>
        </is>
      </c>
      <c r="B519" t="inlineStr">
        <is>
          <t>Q6</t>
        </is>
      </c>
      <c r="C519" t="inlineStr">
        <is>
          <t>No</t>
        </is>
      </c>
      <c r="D519" t="inlineStr">
        <is>
          <t>No</t>
        </is>
      </c>
      <c r="E519">
        <f>VLOOKUP(C519,CategoryMap,2,0)</f>
        <v/>
      </c>
      <c r="F519">
        <f>VLOOKUP(D519,CategoryMap,2,0)</f>
        <v/>
      </c>
      <c r="G519">
        <f>ABS(E519-F519)</f>
        <v/>
      </c>
      <c r="H519">
        <f>IF(G519=0,"Yes","No")</f>
        <v/>
      </c>
      <c r="I519" t="inlineStr">
        <is>
          <t>No</t>
        </is>
      </c>
      <c r="J519">
        <f>IF(I519="","",IF(AND(I519=C519,I519=D519),"Both",IF(I519=C519,"Opus",IF(I519=D519,"Sonnet","Neither"))))</f>
        <v/>
      </c>
    </row>
    <row r="520">
      <c r="A520" t="inlineStr">
        <is>
          <t>R163</t>
        </is>
      </c>
      <c r="B520" t="inlineStr">
        <is>
          <t>Q7</t>
        </is>
      </c>
      <c r="C520" t="inlineStr">
        <is>
          <t>Partial</t>
        </is>
      </c>
      <c r="D520" t="inlineStr">
        <is>
          <t>No</t>
        </is>
      </c>
      <c r="E520">
        <f>VLOOKUP(C520,CategoryMap,2,0)</f>
        <v/>
      </c>
      <c r="F520">
        <f>VLOOKUP(D520,CategoryMap,2,0)</f>
        <v/>
      </c>
      <c r="G520">
        <f>ABS(E520-F520)</f>
        <v/>
      </c>
      <c r="H520">
        <f>IF(G520=0,"Yes","No")</f>
        <v/>
      </c>
      <c r="I520" t="inlineStr">
        <is>
          <t>Partial</t>
        </is>
      </c>
      <c r="J520">
        <f>IF(I520="","",IF(AND(I520=C520,I520=D520),"Both",IF(I520=C520,"Opus",IF(I520=D520,"Sonnet","Neither"))))</f>
        <v/>
      </c>
    </row>
    <row r="521">
      <c r="A521" t="inlineStr">
        <is>
          <t>R163</t>
        </is>
      </c>
      <c r="B521" t="inlineStr">
        <is>
          <t>Q8</t>
        </is>
      </c>
      <c r="C521" t="inlineStr">
        <is>
          <t>No</t>
        </is>
      </c>
      <c r="D521" t="inlineStr">
        <is>
          <t>No</t>
        </is>
      </c>
      <c r="E521">
        <f>VLOOKUP(C521,CategoryMap,2,0)</f>
        <v/>
      </c>
      <c r="F521">
        <f>VLOOKUP(D521,CategoryMap,2,0)</f>
        <v/>
      </c>
      <c r="G521">
        <f>ABS(E521-F521)</f>
        <v/>
      </c>
      <c r="H521">
        <f>IF(G521=0,"Yes","No")</f>
        <v/>
      </c>
      <c r="I521" t="inlineStr">
        <is>
          <t>No</t>
        </is>
      </c>
      <c r="J521">
        <f>IF(I521="","",IF(AND(I521=C521,I521=D521),"Both",IF(I521=C521,"Opus",IF(I521=D521,"Sonnet","Neither"))))</f>
        <v/>
      </c>
    </row>
    <row r="522">
      <c r="A522" t="inlineStr">
        <is>
          <t>R164</t>
        </is>
      </c>
      <c r="B522" t="inlineStr">
        <is>
          <t>Q1</t>
        </is>
      </c>
      <c r="C522" t="inlineStr">
        <is>
          <t>Partial</t>
        </is>
      </c>
      <c r="D522" t="inlineStr">
        <is>
          <t>No</t>
        </is>
      </c>
      <c r="E522">
        <f>VLOOKUP(C522,CategoryMap,2,0)</f>
        <v/>
      </c>
      <c r="F522">
        <f>VLOOKUP(D522,CategoryMap,2,0)</f>
        <v/>
      </c>
      <c r="G522">
        <f>ABS(E522-F522)</f>
        <v/>
      </c>
      <c r="H522">
        <f>IF(G522=0,"Yes","No")</f>
        <v/>
      </c>
      <c r="I522" t="inlineStr">
        <is>
          <t>No</t>
        </is>
      </c>
      <c r="J522">
        <f>IF(I522="","",IF(AND(I522=C522,I522=D522),"Both",IF(I522=C522,"Opus",IF(I522=D522,"Sonnet","Neither"))))</f>
        <v/>
      </c>
    </row>
    <row r="523">
      <c r="A523" t="inlineStr">
        <is>
          <t>R164</t>
        </is>
      </c>
      <c r="B523" t="inlineStr">
        <is>
          <t>Q2</t>
        </is>
      </c>
      <c r="C523" t="inlineStr">
        <is>
          <t>Partial</t>
        </is>
      </c>
      <c r="D523" t="inlineStr">
        <is>
          <t>No</t>
        </is>
      </c>
      <c r="E523">
        <f>VLOOKUP(C523,CategoryMap,2,0)</f>
        <v/>
      </c>
      <c r="F523">
        <f>VLOOKUP(D523,CategoryMap,2,0)</f>
        <v/>
      </c>
      <c r="G523">
        <f>ABS(E523-F523)</f>
        <v/>
      </c>
      <c r="H523">
        <f>IF(G523=0,"Yes","No")</f>
        <v/>
      </c>
      <c r="I523" t="inlineStr">
        <is>
          <t>No</t>
        </is>
      </c>
      <c r="J523">
        <f>IF(I523="","",IF(AND(I523=C523,I523=D523),"Both",IF(I523=C523,"Opus",IF(I523=D523,"Sonnet","Neither"))))</f>
        <v/>
      </c>
    </row>
    <row r="524">
      <c r="A524" t="inlineStr">
        <is>
          <t>R164</t>
        </is>
      </c>
      <c r="B524" t="inlineStr">
        <is>
          <t>Q3</t>
        </is>
      </c>
      <c r="C524" t="inlineStr">
        <is>
          <t>Partial</t>
        </is>
      </c>
      <c r="D524" t="inlineStr">
        <is>
          <t>No</t>
        </is>
      </c>
      <c r="E524">
        <f>VLOOKUP(C524,CategoryMap,2,0)</f>
        <v/>
      </c>
      <c r="F524">
        <f>VLOOKUP(D524,CategoryMap,2,0)</f>
        <v/>
      </c>
      <c r="G524">
        <f>ABS(E524-F524)</f>
        <v/>
      </c>
      <c r="H524">
        <f>IF(G524=0,"Yes","No")</f>
        <v/>
      </c>
      <c r="I524" t="inlineStr">
        <is>
          <t>No</t>
        </is>
      </c>
      <c r="J524">
        <f>IF(I524="","",IF(AND(I524=C524,I524=D524),"Both",IF(I524=C524,"Opus",IF(I524=D524,"Sonnet","Neither"))))</f>
        <v/>
      </c>
    </row>
    <row r="525">
      <c r="A525" t="inlineStr">
        <is>
          <t>R164</t>
        </is>
      </c>
      <c r="B525" t="inlineStr">
        <is>
          <t>Q4</t>
        </is>
      </c>
      <c r="C525" t="inlineStr">
        <is>
          <t>No</t>
        </is>
      </c>
      <c r="D525" t="inlineStr">
        <is>
          <t>No</t>
        </is>
      </c>
      <c r="E525">
        <f>VLOOKUP(C525,CategoryMap,2,0)</f>
        <v/>
      </c>
      <c r="F525">
        <f>VLOOKUP(D525,CategoryMap,2,0)</f>
        <v/>
      </c>
      <c r="G525">
        <f>ABS(E525-F525)</f>
        <v/>
      </c>
      <c r="H525">
        <f>IF(G525=0,"Yes","No")</f>
        <v/>
      </c>
      <c r="I525" t="inlineStr">
        <is>
          <t>No</t>
        </is>
      </c>
      <c r="J525">
        <f>IF(I525="","",IF(AND(I525=C525,I525=D525),"Both",IF(I525=C525,"Opus",IF(I525=D525,"Sonnet","Neither"))))</f>
        <v/>
      </c>
    </row>
    <row r="526">
      <c r="A526" t="inlineStr">
        <is>
          <t>R164</t>
        </is>
      </c>
      <c r="B526" t="inlineStr">
        <is>
          <t>Q5</t>
        </is>
      </c>
      <c r="C526" t="inlineStr">
        <is>
          <t>No</t>
        </is>
      </c>
      <c r="D526" t="inlineStr">
        <is>
          <t>No</t>
        </is>
      </c>
      <c r="E526">
        <f>VLOOKUP(C526,CategoryMap,2,0)</f>
        <v/>
      </c>
      <c r="F526">
        <f>VLOOKUP(D526,CategoryMap,2,0)</f>
        <v/>
      </c>
      <c r="G526">
        <f>ABS(E526-F526)</f>
        <v/>
      </c>
      <c r="H526">
        <f>IF(G526=0,"Yes","No")</f>
        <v/>
      </c>
      <c r="I526" t="inlineStr">
        <is>
          <t>No</t>
        </is>
      </c>
      <c r="J526">
        <f>IF(I526="","",IF(AND(I526=C526,I526=D526),"Both",IF(I526=C526,"Opus",IF(I526=D526,"Sonnet","Neither"))))</f>
        <v/>
      </c>
    </row>
    <row r="527">
      <c r="A527" t="inlineStr">
        <is>
          <t>R164</t>
        </is>
      </c>
      <c r="B527" t="inlineStr">
        <is>
          <t>Q6</t>
        </is>
      </c>
      <c r="C527" t="inlineStr">
        <is>
          <t>No</t>
        </is>
      </c>
      <c r="D527" t="inlineStr">
        <is>
          <t>No</t>
        </is>
      </c>
      <c r="E527">
        <f>VLOOKUP(C527,CategoryMap,2,0)</f>
        <v/>
      </c>
      <c r="F527">
        <f>VLOOKUP(D527,CategoryMap,2,0)</f>
        <v/>
      </c>
      <c r="G527">
        <f>ABS(E527-F527)</f>
        <v/>
      </c>
      <c r="H527">
        <f>IF(G527=0,"Yes","No")</f>
        <v/>
      </c>
      <c r="I527" t="inlineStr">
        <is>
          <t>No</t>
        </is>
      </c>
      <c r="J527">
        <f>IF(I527="","",IF(AND(I527=C527,I527=D527),"Both",IF(I527=C527,"Opus",IF(I527=D527,"Sonnet","Neither"))))</f>
        <v/>
      </c>
    </row>
    <row r="528">
      <c r="A528" t="inlineStr">
        <is>
          <t>R164</t>
        </is>
      </c>
      <c r="B528" t="inlineStr">
        <is>
          <t>Q7</t>
        </is>
      </c>
      <c r="C528" t="inlineStr">
        <is>
          <t>Partial</t>
        </is>
      </c>
      <c r="D528" t="inlineStr">
        <is>
          <t>Partial</t>
        </is>
      </c>
      <c r="E528">
        <f>VLOOKUP(C528,CategoryMap,2,0)</f>
        <v/>
      </c>
      <c r="F528">
        <f>VLOOKUP(D528,CategoryMap,2,0)</f>
        <v/>
      </c>
      <c r="G528">
        <f>ABS(E528-F528)</f>
        <v/>
      </c>
      <c r="H528">
        <f>IF(G528=0,"Yes","No")</f>
        <v/>
      </c>
      <c r="I528" t="inlineStr">
        <is>
          <t>Partial</t>
        </is>
      </c>
      <c r="J528">
        <f>IF(I528="","",IF(AND(I528=C528,I528=D528),"Both",IF(I528=C528,"Opus",IF(I528=D528,"Sonnet","Neither"))))</f>
        <v/>
      </c>
    </row>
    <row r="529">
      <c r="A529" t="inlineStr">
        <is>
          <t>R164</t>
        </is>
      </c>
      <c r="B529" t="inlineStr">
        <is>
          <t>Q8</t>
        </is>
      </c>
      <c r="C529" t="inlineStr">
        <is>
          <t>No</t>
        </is>
      </c>
      <c r="D529" t="inlineStr">
        <is>
          <t>No</t>
        </is>
      </c>
      <c r="E529">
        <f>VLOOKUP(C529,CategoryMap,2,0)</f>
        <v/>
      </c>
      <c r="F529">
        <f>VLOOKUP(D529,CategoryMap,2,0)</f>
        <v/>
      </c>
      <c r="G529">
        <f>ABS(E529-F529)</f>
        <v/>
      </c>
      <c r="H529">
        <f>IF(G529=0,"Yes","No")</f>
        <v/>
      </c>
      <c r="I529" t="inlineStr">
        <is>
          <t>No</t>
        </is>
      </c>
      <c r="J529">
        <f>IF(I529="","",IF(AND(I529=C529,I529=D529),"Both",IF(I529=C529,"Opus",IF(I529=D529,"Sonnet","Neither"))))</f>
        <v/>
      </c>
    </row>
    <row r="530">
      <c r="A530" t="inlineStr">
        <is>
          <t>R166</t>
        </is>
      </c>
      <c r="B530" t="inlineStr">
        <is>
          <t>Q1</t>
        </is>
      </c>
      <c r="C530" t="inlineStr">
        <is>
          <t>Yes</t>
        </is>
      </c>
      <c r="D530" t="inlineStr">
        <is>
          <t>No</t>
        </is>
      </c>
      <c r="E530">
        <f>VLOOKUP(C530,CategoryMap,2,0)</f>
        <v/>
      </c>
      <c r="F530">
        <f>VLOOKUP(D530,CategoryMap,2,0)</f>
        <v/>
      </c>
      <c r="G530">
        <f>ABS(E530-F530)</f>
        <v/>
      </c>
      <c r="H530">
        <f>IF(G530=0,"Yes","No")</f>
        <v/>
      </c>
      <c r="I530" t="inlineStr">
        <is>
          <t>Yes</t>
        </is>
      </c>
      <c r="J530">
        <f>IF(I530="","",IF(AND(I530=C530,I530=D530),"Both",IF(I530=C530,"Opus",IF(I530=D530,"Sonnet","Neither"))))</f>
        <v/>
      </c>
    </row>
    <row r="531">
      <c r="A531" t="inlineStr">
        <is>
          <t>R166</t>
        </is>
      </c>
      <c r="B531" t="inlineStr">
        <is>
          <t>Q2</t>
        </is>
      </c>
      <c r="C531" t="inlineStr">
        <is>
          <t>Yes</t>
        </is>
      </c>
      <c r="D531" t="inlineStr">
        <is>
          <t>Partial</t>
        </is>
      </c>
      <c r="E531">
        <f>VLOOKUP(C531,CategoryMap,2,0)</f>
        <v/>
      </c>
      <c r="F531">
        <f>VLOOKUP(D531,CategoryMap,2,0)</f>
        <v/>
      </c>
      <c r="G531">
        <f>ABS(E531-F531)</f>
        <v/>
      </c>
      <c r="H531">
        <f>IF(G531=0,"Yes","No")</f>
        <v/>
      </c>
      <c r="I531" t="inlineStr">
        <is>
          <t>Partial</t>
        </is>
      </c>
      <c r="J531">
        <f>IF(I531="","",IF(AND(I531=C531,I531=D531),"Both",IF(I531=C531,"Opus",IF(I531=D531,"Sonnet","Neither"))))</f>
        <v/>
      </c>
    </row>
    <row r="532">
      <c r="A532" t="inlineStr">
        <is>
          <t>R166</t>
        </is>
      </c>
      <c r="B532" t="inlineStr">
        <is>
          <t>Q3</t>
        </is>
      </c>
      <c r="C532" t="inlineStr">
        <is>
          <t>Partial</t>
        </is>
      </c>
      <c r="D532" t="inlineStr">
        <is>
          <t>No</t>
        </is>
      </c>
      <c r="E532">
        <f>VLOOKUP(C532,CategoryMap,2,0)</f>
        <v/>
      </c>
      <c r="F532">
        <f>VLOOKUP(D532,CategoryMap,2,0)</f>
        <v/>
      </c>
      <c r="G532">
        <f>ABS(E532-F532)</f>
        <v/>
      </c>
      <c r="H532">
        <f>IF(G532=0,"Yes","No")</f>
        <v/>
      </c>
      <c r="I532" t="inlineStr">
        <is>
          <t>Partial</t>
        </is>
      </c>
      <c r="J532">
        <f>IF(I532="","",IF(AND(I532=C532,I532=D532),"Both",IF(I532=C532,"Opus",IF(I532=D532,"Sonnet","Neither"))))</f>
        <v/>
      </c>
    </row>
    <row r="533">
      <c r="A533" t="inlineStr">
        <is>
          <t>R166</t>
        </is>
      </c>
      <c r="B533" t="inlineStr">
        <is>
          <t>Q4</t>
        </is>
      </c>
      <c r="C533" t="inlineStr">
        <is>
          <t>No</t>
        </is>
      </c>
      <c r="D533" t="inlineStr">
        <is>
          <t>No</t>
        </is>
      </c>
      <c r="E533">
        <f>VLOOKUP(C533,CategoryMap,2,0)</f>
        <v/>
      </c>
      <c r="F533">
        <f>VLOOKUP(D533,CategoryMap,2,0)</f>
        <v/>
      </c>
      <c r="G533">
        <f>ABS(E533-F533)</f>
        <v/>
      </c>
      <c r="H533">
        <f>IF(G533=0,"Yes","No")</f>
        <v/>
      </c>
      <c r="I533" t="inlineStr">
        <is>
          <t>No</t>
        </is>
      </c>
      <c r="J533">
        <f>IF(I533="","",IF(AND(I533=C533,I533=D533),"Both",IF(I533=C533,"Opus",IF(I533=D533,"Sonnet","Neither"))))</f>
        <v/>
      </c>
    </row>
    <row r="534">
      <c r="A534" t="inlineStr">
        <is>
          <t>R166</t>
        </is>
      </c>
      <c r="B534" t="inlineStr">
        <is>
          <t>Q5</t>
        </is>
      </c>
      <c r="C534" t="inlineStr">
        <is>
          <t>Partial</t>
        </is>
      </c>
      <c r="D534" t="inlineStr">
        <is>
          <t>No</t>
        </is>
      </c>
      <c r="E534">
        <f>VLOOKUP(C534,CategoryMap,2,0)</f>
        <v/>
      </c>
      <c r="F534">
        <f>VLOOKUP(D534,CategoryMap,2,0)</f>
        <v/>
      </c>
      <c r="G534">
        <f>ABS(E534-F534)</f>
        <v/>
      </c>
      <c r="H534">
        <f>IF(G534=0,"Yes","No")</f>
        <v/>
      </c>
      <c r="I534" t="inlineStr">
        <is>
          <t>No</t>
        </is>
      </c>
      <c r="J534">
        <f>IF(I534="","",IF(AND(I534=C534,I534=D534),"Both",IF(I534=C534,"Opus",IF(I534=D534,"Sonnet","Neither"))))</f>
        <v/>
      </c>
    </row>
    <row r="535">
      <c r="A535" t="inlineStr">
        <is>
          <t>R166</t>
        </is>
      </c>
      <c r="B535" t="inlineStr">
        <is>
          <t>Q6</t>
        </is>
      </c>
      <c r="C535" t="inlineStr">
        <is>
          <t>No</t>
        </is>
      </c>
      <c r="D535" t="inlineStr">
        <is>
          <t>No</t>
        </is>
      </c>
      <c r="E535">
        <f>VLOOKUP(C535,CategoryMap,2,0)</f>
        <v/>
      </c>
      <c r="F535">
        <f>VLOOKUP(D535,CategoryMap,2,0)</f>
        <v/>
      </c>
      <c r="G535">
        <f>ABS(E535-F535)</f>
        <v/>
      </c>
      <c r="H535">
        <f>IF(G535=0,"Yes","No")</f>
        <v/>
      </c>
      <c r="I535" t="inlineStr">
        <is>
          <t>No</t>
        </is>
      </c>
      <c r="J535">
        <f>IF(I535="","",IF(AND(I535=C535,I535=D535),"Both",IF(I535=C535,"Opus",IF(I535=D535,"Sonnet","Neither"))))</f>
        <v/>
      </c>
    </row>
    <row r="536">
      <c r="A536" t="inlineStr">
        <is>
          <t>R166</t>
        </is>
      </c>
      <c r="B536" t="inlineStr">
        <is>
          <t>Q7</t>
        </is>
      </c>
      <c r="C536" t="inlineStr">
        <is>
          <t>Partial</t>
        </is>
      </c>
      <c r="D536" t="inlineStr">
        <is>
          <t>No</t>
        </is>
      </c>
      <c r="E536">
        <f>VLOOKUP(C536,CategoryMap,2,0)</f>
        <v/>
      </c>
      <c r="F536">
        <f>VLOOKUP(D536,CategoryMap,2,0)</f>
        <v/>
      </c>
      <c r="G536">
        <f>ABS(E536-F536)</f>
        <v/>
      </c>
      <c r="H536">
        <f>IF(G536=0,"Yes","No")</f>
        <v/>
      </c>
      <c r="I536" t="inlineStr">
        <is>
          <t>Partial</t>
        </is>
      </c>
      <c r="J536">
        <f>IF(I536="","",IF(AND(I536=C536,I536=D536),"Both",IF(I536=C536,"Opus",IF(I536=D536,"Sonnet","Neither"))))</f>
        <v/>
      </c>
    </row>
    <row r="537">
      <c r="A537" t="inlineStr">
        <is>
          <t>R166</t>
        </is>
      </c>
      <c r="B537" t="inlineStr">
        <is>
          <t>Q8</t>
        </is>
      </c>
      <c r="C537" t="inlineStr">
        <is>
          <t>No</t>
        </is>
      </c>
      <c r="D537" t="inlineStr">
        <is>
          <t>No</t>
        </is>
      </c>
      <c r="E537">
        <f>VLOOKUP(C537,CategoryMap,2,0)</f>
        <v/>
      </c>
      <c r="F537">
        <f>VLOOKUP(D537,CategoryMap,2,0)</f>
        <v/>
      </c>
      <c r="G537">
        <f>ABS(E537-F537)</f>
        <v/>
      </c>
      <c r="H537">
        <f>IF(G537=0,"Yes","No")</f>
        <v/>
      </c>
      <c r="I537" t="inlineStr">
        <is>
          <t>No</t>
        </is>
      </c>
      <c r="J537">
        <f>IF(I537="","",IF(AND(I537=C537,I537=D537),"Both",IF(I537=C537,"Opus",IF(I537=D537,"Sonnet","Neither"))))</f>
        <v/>
      </c>
    </row>
    <row r="538">
      <c r="A538" t="inlineStr">
        <is>
          <t>R167</t>
        </is>
      </c>
      <c r="B538" t="inlineStr">
        <is>
          <t>Q1</t>
        </is>
      </c>
      <c r="C538" t="inlineStr">
        <is>
          <t>Yes</t>
        </is>
      </c>
      <c r="D538" t="inlineStr">
        <is>
          <t>Partial</t>
        </is>
      </c>
      <c r="E538">
        <f>VLOOKUP(C538,CategoryMap,2,0)</f>
        <v/>
      </c>
      <c r="F538">
        <f>VLOOKUP(D538,CategoryMap,2,0)</f>
        <v/>
      </c>
      <c r="G538">
        <f>ABS(E538-F538)</f>
        <v/>
      </c>
      <c r="H538">
        <f>IF(G538=0,"Yes","No")</f>
        <v/>
      </c>
      <c r="I538" t="inlineStr">
        <is>
          <t>Partial</t>
        </is>
      </c>
      <c r="J538">
        <f>IF(I538="","",IF(AND(I538=C538,I538=D538),"Both",IF(I538=C538,"Opus",IF(I538=D538,"Sonnet","Neither"))))</f>
        <v/>
      </c>
    </row>
    <row r="539">
      <c r="A539" t="inlineStr">
        <is>
          <t>R167</t>
        </is>
      </c>
      <c r="B539" t="inlineStr">
        <is>
          <t>Q2</t>
        </is>
      </c>
      <c r="C539" t="inlineStr">
        <is>
          <t>Yes</t>
        </is>
      </c>
      <c r="D539" t="inlineStr">
        <is>
          <t>Partial</t>
        </is>
      </c>
      <c r="E539">
        <f>VLOOKUP(C539,CategoryMap,2,0)</f>
        <v/>
      </c>
      <c r="F539">
        <f>VLOOKUP(D539,CategoryMap,2,0)</f>
        <v/>
      </c>
      <c r="G539">
        <f>ABS(E539-F539)</f>
        <v/>
      </c>
      <c r="H539">
        <f>IF(G539=0,"Yes","No")</f>
        <v/>
      </c>
      <c r="I539" t="inlineStr">
        <is>
          <t>Partial</t>
        </is>
      </c>
      <c r="J539">
        <f>IF(I539="","",IF(AND(I539=C539,I539=D539),"Both",IF(I539=C539,"Opus",IF(I539=D539,"Sonnet","Neither"))))</f>
        <v/>
      </c>
    </row>
    <row r="540">
      <c r="A540" t="inlineStr">
        <is>
          <t>R167</t>
        </is>
      </c>
      <c r="B540" t="inlineStr">
        <is>
          <t>Q3</t>
        </is>
      </c>
      <c r="C540" t="inlineStr">
        <is>
          <t>Yes</t>
        </is>
      </c>
      <c r="D540" t="inlineStr">
        <is>
          <t>Partial</t>
        </is>
      </c>
      <c r="E540">
        <f>VLOOKUP(C540,CategoryMap,2,0)</f>
        <v/>
      </c>
      <c r="F540">
        <f>VLOOKUP(D540,CategoryMap,2,0)</f>
        <v/>
      </c>
      <c r="G540">
        <f>ABS(E540-F540)</f>
        <v/>
      </c>
      <c r="H540">
        <f>IF(G540=0,"Yes","No")</f>
        <v/>
      </c>
      <c r="I540" t="inlineStr">
        <is>
          <t>Partial</t>
        </is>
      </c>
      <c r="J540">
        <f>IF(I540="","",IF(AND(I540=C540,I540=D540),"Both",IF(I540=C540,"Opus",IF(I540=D540,"Sonnet","Neither"))))</f>
        <v/>
      </c>
    </row>
    <row r="541">
      <c r="A541" t="inlineStr">
        <is>
          <t>R167</t>
        </is>
      </c>
      <c r="B541" t="inlineStr">
        <is>
          <t>Q4</t>
        </is>
      </c>
      <c r="C541" t="inlineStr">
        <is>
          <t>No</t>
        </is>
      </c>
      <c r="D541" t="inlineStr">
        <is>
          <t>No</t>
        </is>
      </c>
      <c r="E541">
        <f>VLOOKUP(C541,CategoryMap,2,0)</f>
        <v/>
      </c>
      <c r="F541">
        <f>VLOOKUP(D541,CategoryMap,2,0)</f>
        <v/>
      </c>
      <c r="G541">
        <f>ABS(E541-F541)</f>
        <v/>
      </c>
      <c r="H541">
        <f>IF(G541=0,"Yes","No")</f>
        <v/>
      </c>
      <c r="I541" t="inlineStr">
        <is>
          <t>No</t>
        </is>
      </c>
      <c r="J541">
        <f>IF(I541="","",IF(AND(I541=C541,I541=D541),"Both",IF(I541=C541,"Opus",IF(I541=D541,"Sonnet","Neither"))))</f>
        <v/>
      </c>
    </row>
    <row r="542">
      <c r="A542" t="inlineStr">
        <is>
          <t>R167</t>
        </is>
      </c>
      <c r="B542" t="inlineStr">
        <is>
          <t>Q5</t>
        </is>
      </c>
      <c r="C542" t="inlineStr">
        <is>
          <t>No</t>
        </is>
      </c>
      <c r="D542" t="inlineStr">
        <is>
          <t>No</t>
        </is>
      </c>
      <c r="E542">
        <f>VLOOKUP(C542,CategoryMap,2,0)</f>
        <v/>
      </c>
      <c r="F542">
        <f>VLOOKUP(D542,CategoryMap,2,0)</f>
        <v/>
      </c>
      <c r="G542">
        <f>ABS(E542-F542)</f>
        <v/>
      </c>
      <c r="H542">
        <f>IF(G542=0,"Yes","No")</f>
        <v/>
      </c>
      <c r="I542" t="inlineStr">
        <is>
          <t>No</t>
        </is>
      </c>
      <c r="J542">
        <f>IF(I542="","",IF(AND(I542=C542,I542=D542),"Both",IF(I542=C542,"Opus",IF(I542=D542,"Sonnet","Neither"))))</f>
        <v/>
      </c>
    </row>
    <row r="543">
      <c r="A543" t="inlineStr">
        <is>
          <t>R167</t>
        </is>
      </c>
      <c r="B543" t="inlineStr">
        <is>
          <t>Q6</t>
        </is>
      </c>
      <c r="C543" t="inlineStr">
        <is>
          <t>No</t>
        </is>
      </c>
      <c r="D543" t="inlineStr">
        <is>
          <t>No</t>
        </is>
      </c>
      <c r="E543">
        <f>VLOOKUP(C543,CategoryMap,2,0)</f>
        <v/>
      </c>
      <c r="F543">
        <f>VLOOKUP(D543,CategoryMap,2,0)</f>
        <v/>
      </c>
      <c r="G543">
        <f>ABS(E543-F543)</f>
        <v/>
      </c>
      <c r="H543">
        <f>IF(G543=0,"Yes","No")</f>
        <v/>
      </c>
      <c r="I543" t="inlineStr">
        <is>
          <t>No</t>
        </is>
      </c>
      <c r="J543">
        <f>IF(I543="","",IF(AND(I543=C543,I543=D543),"Both",IF(I543=C543,"Opus",IF(I543=D543,"Sonnet","Neither"))))</f>
        <v/>
      </c>
    </row>
    <row r="544">
      <c r="A544" t="inlineStr">
        <is>
          <t>R167</t>
        </is>
      </c>
      <c r="B544" t="inlineStr">
        <is>
          <t>Q7</t>
        </is>
      </c>
      <c r="C544" t="inlineStr">
        <is>
          <t>No</t>
        </is>
      </c>
      <c r="D544" t="inlineStr">
        <is>
          <t>No</t>
        </is>
      </c>
      <c r="E544">
        <f>VLOOKUP(C544,CategoryMap,2,0)</f>
        <v/>
      </c>
      <c r="F544">
        <f>VLOOKUP(D544,CategoryMap,2,0)</f>
        <v/>
      </c>
      <c r="G544">
        <f>ABS(E544-F544)</f>
        <v/>
      </c>
      <c r="H544">
        <f>IF(G544=0,"Yes","No")</f>
        <v/>
      </c>
      <c r="I544" t="inlineStr">
        <is>
          <t>No</t>
        </is>
      </c>
      <c r="J544">
        <f>IF(I544="","",IF(AND(I544=C544,I544=D544),"Both",IF(I544=C544,"Opus",IF(I544=D544,"Sonnet","Neither"))))</f>
        <v/>
      </c>
    </row>
    <row r="545">
      <c r="A545" t="inlineStr">
        <is>
          <t>R167</t>
        </is>
      </c>
      <c r="B545" t="inlineStr">
        <is>
          <t>Q8</t>
        </is>
      </c>
      <c r="C545" t="inlineStr">
        <is>
          <t>Partial</t>
        </is>
      </c>
      <c r="D545" t="inlineStr">
        <is>
          <t>Partial</t>
        </is>
      </c>
      <c r="E545">
        <f>VLOOKUP(C545,CategoryMap,2,0)</f>
        <v/>
      </c>
      <c r="F545">
        <f>VLOOKUP(D545,CategoryMap,2,0)</f>
        <v/>
      </c>
      <c r="G545">
        <f>ABS(E545-F545)</f>
        <v/>
      </c>
      <c r="H545">
        <f>IF(G545=0,"Yes","No")</f>
        <v/>
      </c>
      <c r="I545" t="inlineStr">
        <is>
          <t>Partial</t>
        </is>
      </c>
      <c r="J545">
        <f>IF(I545="","",IF(AND(I545=C545,I545=D545),"Both",IF(I545=C545,"Opus",IF(I545=D545,"Sonnet","Neither"))))</f>
        <v/>
      </c>
    </row>
    <row r="546">
      <c r="A546" t="inlineStr">
        <is>
          <t>R168</t>
        </is>
      </c>
      <c r="B546" t="inlineStr">
        <is>
          <t>Q1</t>
        </is>
      </c>
      <c r="C546" t="inlineStr">
        <is>
          <t>No</t>
        </is>
      </c>
      <c r="D546" t="inlineStr">
        <is>
          <t>No</t>
        </is>
      </c>
      <c r="E546">
        <f>VLOOKUP(C546,CategoryMap,2,0)</f>
        <v/>
      </c>
      <c r="F546">
        <f>VLOOKUP(D546,CategoryMap,2,0)</f>
        <v/>
      </c>
      <c r="G546">
        <f>ABS(E546-F546)</f>
        <v/>
      </c>
      <c r="H546">
        <f>IF(G546=0,"Yes","No")</f>
        <v/>
      </c>
      <c r="I546" t="inlineStr">
        <is>
          <t>No</t>
        </is>
      </c>
      <c r="J546">
        <f>IF(I546="","",IF(AND(I546=C546,I546=D546),"Both",IF(I546=C546,"Opus",IF(I546=D546,"Sonnet","Neither"))))</f>
        <v/>
      </c>
    </row>
    <row r="547">
      <c r="A547" t="inlineStr">
        <is>
          <t>R168</t>
        </is>
      </c>
      <c r="B547" t="inlineStr">
        <is>
          <t>Q2</t>
        </is>
      </c>
      <c r="C547" t="inlineStr">
        <is>
          <t>Partial</t>
        </is>
      </c>
      <c r="D547" t="inlineStr">
        <is>
          <t>No</t>
        </is>
      </c>
      <c r="E547">
        <f>VLOOKUP(C547,CategoryMap,2,0)</f>
        <v/>
      </c>
      <c r="F547">
        <f>VLOOKUP(D547,CategoryMap,2,0)</f>
        <v/>
      </c>
      <c r="G547">
        <f>ABS(E547-F547)</f>
        <v/>
      </c>
      <c r="H547">
        <f>IF(G547=0,"Yes","No")</f>
        <v/>
      </c>
      <c r="I547" t="inlineStr">
        <is>
          <t>Partial</t>
        </is>
      </c>
      <c r="J547">
        <f>IF(I547="","",IF(AND(I547=C547,I547=D547),"Both",IF(I547=C547,"Opus",IF(I547=D547,"Sonnet","Neither"))))</f>
        <v/>
      </c>
    </row>
    <row r="548">
      <c r="A548" t="inlineStr">
        <is>
          <t>R168</t>
        </is>
      </c>
      <c r="B548" t="inlineStr">
        <is>
          <t>Q3</t>
        </is>
      </c>
      <c r="C548" t="inlineStr">
        <is>
          <t>Partial</t>
        </is>
      </c>
      <c r="D548" t="inlineStr">
        <is>
          <t>No</t>
        </is>
      </c>
      <c r="E548">
        <f>VLOOKUP(C548,CategoryMap,2,0)</f>
        <v/>
      </c>
      <c r="F548">
        <f>VLOOKUP(D548,CategoryMap,2,0)</f>
        <v/>
      </c>
      <c r="G548">
        <f>ABS(E548-F548)</f>
        <v/>
      </c>
      <c r="H548">
        <f>IF(G548=0,"Yes","No")</f>
        <v/>
      </c>
      <c r="I548" t="inlineStr">
        <is>
          <t>No</t>
        </is>
      </c>
      <c r="J548">
        <f>IF(I548="","",IF(AND(I548=C548,I548=D548),"Both",IF(I548=C548,"Opus",IF(I548=D548,"Sonnet","Neither"))))</f>
        <v/>
      </c>
    </row>
    <row r="549">
      <c r="A549" t="inlineStr">
        <is>
          <t>R168</t>
        </is>
      </c>
      <c r="B549" t="inlineStr">
        <is>
          <t>Q4</t>
        </is>
      </c>
      <c r="C549" t="inlineStr">
        <is>
          <t>Partial</t>
        </is>
      </c>
      <c r="D549" t="inlineStr">
        <is>
          <t>Yes</t>
        </is>
      </c>
      <c r="E549">
        <f>VLOOKUP(C549,CategoryMap,2,0)</f>
        <v/>
      </c>
      <c r="F549">
        <f>VLOOKUP(D549,CategoryMap,2,0)</f>
        <v/>
      </c>
      <c r="G549">
        <f>ABS(E549-F549)</f>
        <v/>
      </c>
      <c r="H549">
        <f>IF(G549=0,"Yes","No")</f>
        <v/>
      </c>
      <c r="I549" t="inlineStr">
        <is>
          <t>Partial</t>
        </is>
      </c>
      <c r="J549">
        <f>IF(I549="","",IF(AND(I549=C549,I549=D549),"Both",IF(I549=C549,"Opus",IF(I549=D549,"Sonnet","Neither"))))</f>
        <v/>
      </c>
    </row>
    <row r="550">
      <c r="A550" t="inlineStr">
        <is>
          <t>R168</t>
        </is>
      </c>
      <c r="B550" t="inlineStr">
        <is>
          <t>Q5</t>
        </is>
      </c>
      <c r="C550" t="inlineStr">
        <is>
          <t>Yes</t>
        </is>
      </c>
      <c r="D550" t="inlineStr">
        <is>
          <t>Yes</t>
        </is>
      </c>
      <c r="E550">
        <f>VLOOKUP(C550,CategoryMap,2,0)</f>
        <v/>
      </c>
      <c r="F550">
        <f>VLOOKUP(D550,CategoryMap,2,0)</f>
        <v/>
      </c>
      <c r="G550">
        <f>ABS(E550-F550)</f>
        <v/>
      </c>
      <c r="H550">
        <f>IF(G550=0,"Yes","No")</f>
        <v/>
      </c>
      <c r="I550" t="inlineStr">
        <is>
          <t>Yes</t>
        </is>
      </c>
      <c r="J550">
        <f>IF(I550="","",IF(AND(I550=C550,I550=D550),"Both",IF(I550=C550,"Opus",IF(I550=D550,"Sonnet","Neither"))))</f>
        <v/>
      </c>
    </row>
    <row r="551">
      <c r="A551" t="inlineStr">
        <is>
          <t>R168</t>
        </is>
      </c>
      <c r="B551" t="inlineStr">
        <is>
          <t>Q6</t>
        </is>
      </c>
      <c r="C551" t="inlineStr">
        <is>
          <t>Yes</t>
        </is>
      </c>
      <c r="D551" t="inlineStr">
        <is>
          <t>Yes</t>
        </is>
      </c>
      <c r="E551">
        <f>VLOOKUP(C551,CategoryMap,2,0)</f>
        <v/>
      </c>
      <c r="F551">
        <f>VLOOKUP(D551,CategoryMap,2,0)</f>
        <v/>
      </c>
      <c r="G551">
        <f>ABS(E551-F551)</f>
        <v/>
      </c>
      <c r="H551">
        <f>IF(G551=0,"Yes","No")</f>
        <v/>
      </c>
      <c r="I551" t="inlineStr">
        <is>
          <t>Yes</t>
        </is>
      </c>
      <c r="J551">
        <f>IF(I551="","",IF(AND(I551=C551,I551=D551),"Both",IF(I551=C551,"Opus",IF(I551=D551,"Sonnet","Neither"))))</f>
        <v/>
      </c>
    </row>
    <row r="552">
      <c r="A552" t="inlineStr">
        <is>
          <t>R168</t>
        </is>
      </c>
      <c r="B552" t="inlineStr">
        <is>
          <t>Q7</t>
        </is>
      </c>
      <c r="C552" t="inlineStr">
        <is>
          <t>Yes</t>
        </is>
      </c>
      <c r="D552" t="inlineStr">
        <is>
          <t>Yes</t>
        </is>
      </c>
      <c r="E552">
        <f>VLOOKUP(C552,CategoryMap,2,0)</f>
        <v/>
      </c>
      <c r="F552">
        <f>VLOOKUP(D552,CategoryMap,2,0)</f>
        <v/>
      </c>
      <c r="G552">
        <f>ABS(E552-F552)</f>
        <v/>
      </c>
      <c r="H552">
        <f>IF(G552=0,"Yes","No")</f>
        <v/>
      </c>
      <c r="I552" t="inlineStr">
        <is>
          <t>Yes</t>
        </is>
      </c>
      <c r="J552">
        <f>IF(I552="","",IF(AND(I552=C552,I552=D552),"Both",IF(I552=C552,"Opus",IF(I552=D552,"Sonnet","Neither"))))</f>
        <v/>
      </c>
    </row>
    <row r="553">
      <c r="A553" t="inlineStr">
        <is>
          <t>R168</t>
        </is>
      </c>
      <c r="B553" t="inlineStr">
        <is>
          <t>Q8</t>
        </is>
      </c>
      <c r="C553" t="inlineStr">
        <is>
          <t>Partial</t>
        </is>
      </c>
      <c r="D553" t="inlineStr">
        <is>
          <t>No</t>
        </is>
      </c>
      <c r="E553">
        <f>VLOOKUP(C553,CategoryMap,2,0)</f>
        <v/>
      </c>
      <c r="F553">
        <f>VLOOKUP(D553,CategoryMap,2,0)</f>
        <v/>
      </c>
      <c r="G553">
        <f>ABS(E553-F553)</f>
        <v/>
      </c>
      <c r="H553">
        <f>IF(G553=0,"Yes","No")</f>
        <v/>
      </c>
      <c r="I553" t="inlineStr">
        <is>
          <t>No</t>
        </is>
      </c>
      <c r="J553">
        <f>IF(I553="","",IF(AND(I553=C553,I553=D553),"Both",IF(I553=C553,"Opus",IF(I553=D553,"Sonnet","Neither"))))</f>
        <v/>
      </c>
    </row>
    <row r="554">
      <c r="A554" t="inlineStr">
        <is>
          <t>R171</t>
        </is>
      </c>
      <c r="B554" t="inlineStr">
        <is>
          <t>Q1</t>
        </is>
      </c>
      <c r="C554" t="inlineStr">
        <is>
          <t>Partial</t>
        </is>
      </c>
      <c r="D554" t="inlineStr">
        <is>
          <t>No</t>
        </is>
      </c>
      <c r="E554">
        <f>VLOOKUP(C554,CategoryMap,2,0)</f>
        <v/>
      </c>
      <c r="F554">
        <f>VLOOKUP(D554,CategoryMap,2,0)</f>
        <v/>
      </c>
      <c r="G554">
        <f>ABS(E554-F554)</f>
        <v/>
      </c>
      <c r="H554">
        <f>IF(G554=0,"Yes","No")</f>
        <v/>
      </c>
      <c r="I554" t="inlineStr">
        <is>
          <t>Partial</t>
        </is>
      </c>
      <c r="J554">
        <f>IF(I554="","",IF(AND(I554=C554,I554=D554),"Both",IF(I554=C554,"Opus",IF(I554=D554,"Sonnet","Neither"))))</f>
        <v/>
      </c>
    </row>
    <row r="555">
      <c r="A555" t="inlineStr">
        <is>
          <t>R171</t>
        </is>
      </c>
      <c r="B555" t="inlineStr">
        <is>
          <t>Q2</t>
        </is>
      </c>
      <c r="C555" t="inlineStr">
        <is>
          <t>Partial</t>
        </is>
      </c>
      <c r="D555" t="inlineStr">
        <is>
          <t>Partial</t>
        </is>
      </c>
      <c r="E555">
        <f>VLOOKUP(C555,CategoryMap,2,0)</f>
        <v/>
      </c>
      <c r="F555">
        <f>VLOOKUP(D555,CategoryMap,2,0)</f>
        <v/>
      </c>
      <c r="G555">
        <f>ABS(E555-F555)</f>
        <v/>
      </c>
      <c r="H555">
        <f>IF(G555=0,"Yes","No")</f>
        <v/>
      </c>
      <c r="I555" t="inlineStr">
        <is>
          <t>Partial</t>
        </is>
      </c>
      <c r="J555">
        <f>IF(I555="","",IF(AND(I555=C555,I555=D555),"Both",IF(I555=C555,"Opus",IF(I555=D555,"Sonnet","Neither"))))</f>
        <v/>
      </c>
    </row>
    <row r="556">
      <c r="A556" t="inlineStr">
        <is>
          <t>R171</t>
        </is>
      </c>
      <c r="B556" t="inlineStr">
        <is>
          <t>Q3</t>
        </is>
      </c>
      <c r="C556" t="inlineStr">
        <is>
          <t>Yes</t>
        </is>
      </c>
      <c r="D556" t="inlineStr">
        <is>
          <t>Partial</t>
        </is>
      </c>
      <c r="E556">
        <f>VLOOKUP(C556,CategoryMap,2,0)</f>
        <v/>
      </c>
      <c r="F556">
        <f>VLOOKUP(D556,CategoryMap,2,0)</f>
        <v/>
      </c>
      <c r="G556">
        <f>ABS(E556-F556)</f>
        <v/>
      </c>
      <c r="H556">
        <f>IF(G556=0,"Yes","No")</f>
        <v/>
      </c>
      <c r="I556" t="inlineStr">
        <is>
          <t>Partial</t>
        </is>
      </c>
      <c r="J556">
        <f>IF(I556="","",IF(AND(I556=C556,I556=D556),"Both",IF(I556=C556,"Opus",IF(I556=D556,"Sonnet","Neither"))))</f>
        <v/>
      </c>
    </row>
    <row r="557">
      <c r="A557" t="inlineStr">
        <is>
          <t>R171</t>
        </is>
      </c>
      <c r="B557" t="inlineStr">
        <is>
          <t>Q4</t>
        </is>
      </c>
      <c r="C557" t="inlineStr">
        <is>
          <t>No</t>
        </is>
      </c>
      <c r="D557" t="inlineStr">
        <is>
          <t>No</t>
        </is>
      </c>
      <c r="E557">
        <f>VLOOKUP(C557,CategoryMap,2,0)</f>
        <v/>
      </c>
      <c r="F557">
        <f>VLOOKUP(D557,CategoryMap,2,0)</f>
        <v/>
      </c>
      <c r="G557">
        <f>ABS(E557-F557)</f>
        <v/>
      </c>
      <c r="H557">
        <f>IF(G557=0,"Yes","No")</f>
        <v/>
      </c>
      <c r="I557" t="inlineStr">
        <is>
          <t>No</t>
        </is>
      </c>
      <c r="J557">
        <f>IF(I557="","",IF(AND(I557=C557,I557=D557),"Both",IF(I557=C557,"Opus",IF(I557=D557,"Sonnet","Neither"))))</f>
        <v/>
      </c>
    </row>
    <row r="558">
      <c r="A558" t="inlineStr">
        <is>
          <t>R171</t>
        </is>
      </c>
      <c r="B558" t="inlineStr">
        <is>
          <t>Q5</t>
        </is>
      </c>
      <c r="C558" t="inlineStr">
        <is>
          <t>No</t>
        </is>
      </c>
      <c r="D558" t="inlineStr">
        <is>
          <t>No</t>
        </is>
      </c>
      <c r="E558">
        <f>VLOOKUP(C558,CategoryMap,2,0)</f>
        <v/>
      </c>
      <c r="F558">
        <f>VLOOKUP(D558,CategoryMap,2,0)</f>
        <v/>
      </c>
      <c r="G558">
        <f>ABS(E558-F558)</f>
        <v/>
      </c>
      <c r="H558">
        <f>IF(G558=0,"Yes","No")</f>
        <v/>
      </c>
      <c r="I558" t="inlineStr">
        <is>
          <t>No</t>
        </is>
      </c>
      <c r="J558">
        <f>IF(I558="","",IF(AND(I558=C558,I558=D558),"Both",IF(I558=C558,"Opus",IF(I558=D558,"Sonnet","Neither"))))</f>
        <v/>
      </c>
    </row>
    <row r="559">
      <c r="A559" t="inlineStr">
        <is>
          <t>R171</t>
        </is>
      </c>
      <c r="B559" t="inlineStr">
        <is>
          <t>Q6</t>
        </is>
      </c>
      <c r="C559" t="inlineStr">
        <is>
          <t>No</t>
        </is>
      </c>
      <c r="D559" t="inlineStr">
        <is>
          <t>No</t>
        </is>
      </c>
      <c r="E559">
        <f>VLOOKUP(C559,CategoryMap,2,0)</f>
        <v/>
      </c>
      <c r="F559">
        <f>VLOOKUP(D559,CategoryMap,2,0)</f>
        <v/>
      </c>
      <c r="G559">
        <f>ABS(E559-F559)</f>
        <v/>
      </c>
      <c r="H559">
        <f>IF(G559=0,"Yes","No")</f>
        <v/>
      </c>
      <c r="I559" t="inlineStr">
        <is>
          <t>No</t>
        </is>
      </c>
      <c r="J559">
        <f>IF(I559="","",IF(AND(I559=C559,I559=D559),"Both",IF(I559=C559,"Opus",IF(I559=D559,"Sonnet","Neither"))))</f>
        <v/>
      </c>
    </row>
    <row r="560">
      <c r="A560" t="inlineStr">
        <is>
          <t>R171</t>
        </is>
      </c>
      <c r="B560" t="inlineStr">
        <is>
          <t>Q7</t>
        </is>
      </c>
      <c r="C560" t="inlineStr">
        <is>
          <t>Partial</t>
        </is>
      </c>
      <c r="D560" t="inlineStr">
        <is>
          <t>Yes</t>
        </is>
      </c>
      <c r="E560">
        <f>VLOOKUP(C560,CategoryMap,2,0)</f>
        <v/>
      </c>
      <c r="F560">
        <f>VLOOKUP(D560,CategoryMap,2,0)</f>
        <v/>
      </c>
      <c r="G560">
        <f>ABS(E560-F560)</f>
        <v/>
      </c>
      <c r="H560">
        <f>IF(G560=0,"Yes","No")</f>
        <v/>
      </c>
      <c r="I560" t="inlineStr">
        <is>
          <t>Partial</t>
        </is>
      </c>
      <c r="J560">
        <f>IF(I560="","",IF(AND(I560=C560,I560=D560),"Both",IF(I560=C560,"Opus",IF(I560=D560,"Sonnet","Neither"))))</f>
        <v/>
      </c>
    </row>
    <row r="561">
      <c r="A561" t="inlineStr">
        <is>
          <t>R171</t>
        </is>
      </c>
      <c r="B561" t="inlineStr">
        <is>
          <t>Q8</t>
        </is>
      </c>
      <c r="C561" t="inlineStr">
        <is>
          <t>Partial</t>
        </is>
      </c>
      <c r="D561" t="inlineStr">
        <is>
          <t>No</t>
        </is>
      </c>
      <c r="E561">
        <f>VLOOKUP(C561,CategoryMap,2,0)</f>
        <v/>
      </c>
      <c r="F561">
        <f>VLOOKUP(D561,CategoryMap,2,0)</f>
        <v/>
      </c>
      <c r="G561">
        <f>ABS(E561-F561)</f>
        <v/>
      </c>
      <c r="H561">
        <f>IF(G561=0,"Yes","No")</f>
        <v/>
      </c>
      <c r="I561" t="inlineStr">
        <is>
          <t>No</t>
        </is>
      </c>
      <c r="J561">
        <f>IF(I561="","",IF(AND(I561=C561,I561=D561),"Both",IF(I561=C561,"Opus",IF(I561=D561,"Sonnet","Neither"))))</f>
        <v/>
      </c>
    </row>
    <row r="562">
      <c r="A562" t="inlineStr">
        <is>
          <t>R174</t>
        </is>
      </c>
      <c r="B562" t="inlineStr">
        <is>
          <t>Q1</t>
        </is>
      </c>
      <c r="C562" t="inlineStr">
        <is>
          <t>Partial</t>
        </is>
      </c>
      <c r="D562" t="inlineStr">
        <is>
          <t>Partial</t>
        </is>
      </c>
      <c r="E562">
        <f>VLOOKUP(C562,CategoryMap,2,0)</f>
        <v/>
      </c>
      <c r="F562">
        <f>VLOOKUP(D562,CategoryMap,2,0)</f>
        <v/>
      </c>
      <c r="G562">
        <f>ABS(E562-F562)</f>
        <v/>
      </c>
      <c r="H562">
        <f>IF(G562=0,"Yes","No")</f>
        <v/>
      </c>
      <c r="I562" t="inlineStr">
        <is>
          <t>Partial</t>
        </is>
      </c>
      <c r="J562">
        <f>IF(I562="","",IF(AND(I562=C562,I562=D562),"Both",IF(I562=C562,"Opus",IF(I562=D562,"Sonnet","Neither"))))</f>
        <v/>
      </c>
    </row>
    <row r="563">
      <c r="A563" t="inlineStr">
        <is>
          <t>R174</t>
        </is>
      </c>
      <c r="B563" t="inlineStr">
        <is>
          <t>Q2</t>
        </is>
      </c>
      <c r="C563" t="inlineStr">
        <is>
          <t>Partial</t>
        </is>
      </c>
      <c r="D563" t="inlineStr">
        <is>
          <t>No</t>
        </is>
      </c>
      <c r="E563">
        <f>VLOOKUP(C563,CategoryMap,2,0)</f>
        <v/>
      </c>
      <c r="F563">
        <f>VLOOKUP(D563,CategoryMap,2,0)</f>
        <v/>
      </c>
      <c r="G563">
        <f>ABS(E563-F563)</f>
        <v/>
      </c>
      <c r="H563">
        <f>IF(G563=0,"Yes","No")</f>
        <v/>
      </c>
      <c r="I563" t="inlineStr">
        <is>
          <t>No</t>
        </is>
      </c>
      <c r="J563">
        <f>IF(I563="","",IF(AND(I563=C563,I563=D563),"Both",IF(I563=C563,"Opus",IF(I563=D563,"Sonnet","Neither"))))</f>
        <v/>
      </c>
    </row>
    <row r="564">
      <c r="A564" t="inlineStr">
        <is>
          <t>R174</t>
        </is>
      </c>
      <c r="B564" t="inlineStr">
        <is>
          <t>Q3</t>
        </is>
      </c>
      <c r="C564" t="inlineStr">
        <is>
          <t>Yes</t>
        </is>
      </c>
      <c r="D564" t="inlineStr">
        <is>
          <t>Partial</t>
        </is>
      </c>
      <c r="E564">
        <f>VLOOKUP(C564,CategoryMap,2,0)</f>
        <v/>
      </c>
      <c r="F564">
        <f>VLOOKUP(D564,CategoryMap,2,0)</f>
        <v/>
      </c>
      <c r="G564">
        <f>ABS(E564-F564)</f>
        <v/>
      </c>
      <c r="H564">
        <f>IF(G564=0,"Yes","No")</f>
        <v/>
      </c>
      <c r="I564" t="inlineStr">
        <is>
          <t>Yes</t>
        </is>
      </c>
      <c r="J564">
        <f>IF(I564="","",IF(AND(I564=C564,I564=D564),"Both",IF(I564=C564,"Opus",IF(I564=D564,"Sonnet","Neither"))))</f>
        <v/>
      </c>
    </row>
    <row r="565">
      <c r="A565" t="inlineStr">
        <is>
          <t>R174</t>
        </is>
      </c>
      <c r="B565" t="inlineStr">
        <is>
          <t>Q4</t>
        </is>
      </c>
      <c r="C565" t="inlineStr">
        <is>
          <t>No</t>
        </is>
      </c>
      <c r="D565" t="inlineStr">
        <is>
          <t>No</t>
        </is>
      </c>
      <c r="E565">
        <f>VLOOKUP(C565,CategoryMap,2,0)</f>
        <v/>
      </c>
      <c r="F565">
        <f>VLOOKUP(D565,CategoryMap,2,0)</f>
        <v/>
      </c>
      <c r="G565">
        <f>ABS(E565-F565)</f>
        <v/>
      </c>
      <c r="H565">
        <f>IF(G565=0,"Yes","No")</f>
        <v/>
      </c>
      <c r="I565" t="inlineStr">
        <is>
          <t>No</t>
        </is>
      </c>
      <c r="J565">
        <f>IF(I565="","",IF(AND(I565=C565,I565=D565),"Both",IF(I565=C565,"Opus",IF(I565=D565,"Sonnet","Neither"))))</f>
        <v/>
      </c>
    </row>
    <row r="566">
      <c r="A566" t="inlineStr">
        <is>
          <t>R174</t>
        </is>
      </c>
      <c r="B566" t="inlineStr">
        <is>
          <t>Q5</t>
        </is>
      </c>
      <c r="C566" t="inlineStr">
        <is>
          <t>No</t>
        </is>
      </c>
      <c r="D566" t="inlineStr">
        <is>
          <t>No</t>
        </is>
      </c>
      <c r="E566">
        <f>VLOOKUP(C566,CategoryMap,2,0)</f>
        <v/>
      </c>
      <c r="F566">
        <f>VLOOKUP(D566,CategoryMap,2,0)</f>
        <v/>
      </c>
      <c r="G566">
        <f>ABS(E566-F566)</f>
        <v/>
      </c>
      <c r="H566">
        <f>IF(G566=0,"Yes","No")</f>
        <v/>
      </c>
      <c r="I566" t="inlineStr">
        <is>
          <t>No</t>
        </is>
      </c>
      <c r="J566">
        <f>IF(I566="","",IF(AND(I566=C566,I566=D566),"Both",IF(I566=C566,"Opus",IF(I566=D566,"Sonnet","Neither"))))</f>
        <v/>
      </c>
    </row>
    <row r="567">
      <c r="A567" t="inlineStr">
        <is>
          <t>R174</t>
        </is>
      </c>
      <c r="B567" t="inlineStr">
        <is>
          <t>Q6</t>
        </is>
      </c>
      <c r="C567" t="inlineStr">
        <is>
          <t>No</t>
        </is>
      </c>
      <c r="D567" t="inlineStr">
        <is>
          <t>No</t>
        </is>
      </c>
      <c r="E567">
        <f>VLOOKUP(C567,CategoryMap,2,0)</f>
        <v/>
      </c>
      <c r="F567">
        <f>VLOOKUP(D567,CategoryMap,2,0)</f>
        <v/>
      </c>
      <c r="G567">
        <f>ABS(E567-F567)</f>
        <v/>
      </c>
      <c r="H567">
        <f>IF(G567=0,"Yes","No")</f>
        <v/>
      </c>
      <c r="I567" t="inlineStr">
        <is>
          <t>No</t>
        </is>
      </c>
      <c r="J567">
        <f>IF(I567="","",IF(AND(I567=C567,I567=D567),"Both",IF(I567=C567,"Opus",IF(I567=D567,"Sonnet","Neither"))))</f>
        <v/>
      </c>
    </row>
    <row r="568">
      <c r="A568" t="inlineStr">
        <is>
          <t>R174</t>
        </is>
      </c>
      <c r="B568" t="inlineStr">
        <is>
          <t>Q7</t>
        </is>
      </c>
      <c r="C568" t="inlineStr">
        <is>
          <t>Partial</t>
        </is>
      </c>
      <c r="D568" t="inlineStr">
        <is>
          <t>Partial</t>
        </is>
      </c>
      <c r="E568">
        <f>VLOOKUP(C568,CategoryMap,2,0)</f>
        <v/>
      </c>
      <c r="F568">
        <f>VLOOKUP(D568,CategoryMap,2,0)</f>
        <v/>
      </c>
      <c r="G568">
        <f>ABS(E568-F568)</f>
        <v/>
      </c>
      <c r="H568">
        <f>IF(G568=0,"Yes","No")</f>
        <v/>
      </c>
      <c r="I568" t="inlineStr">
        <is>
          <t>Partial</t>
        </is>
      </c>
      <c r="J568">
        <f>IF(I568="","",IF(AND(I568=C568,I568=D568),"Both",IF(I568=C568,"Opus",IF(I568=D568,"Sonnet","Neither"))))</f>
        <v/>
      </c>
    </row>
    <row r="569">
      <c r="A569" t="inlineStr">
        <is>
          <t>R174</t>
        </is>
      </c>
      <c r="B569" t="inlineStr">
        <is>
          <t>Q8</t>
        </is>
      </c>
      <c r="C569" t="inlineStr">
        <is>
          <t>Partial</t>
        </is>
      </c>
      <c r="D569" t="inlineStr">
        <is>
          <t>Partial</t>
        </is>
      </c>
      <c r="E569">
        <f>VLOOKUP(C569,CategoryMap,2,0)</f>
        <v/>
      </c>
      <c r="F569">
        <f>VLOOKUP(D569,CategoryMap,2,0)</f>
        <v/>
      </c>
      <c r="G569">
        <f>ABS(E569-F569)</f>
        <v/>
      </c>
      <c r="H569">
        <f>IF(G569=0,"Yes","No")</f>
        <v/>
      </c>
      <c r="I569" t="inlineStr">
        <is>
          <t>Partial</t>
        </is>
      </c>
      <c r="J569">
        <f>IF(I569="","",IF(AND(I569=C569,I569=D569),"Both",IF(I569=C569,"Opus",IF(I569=D569,"Sonnet","Neither"))))</f>
        <v/>
      </c>
    </row>
    <row r="570">
      <c r="A570" t="inlineStr">
        <is>
          <t>R176</t>
        </is>
      </c>
      <c r="B570" t="inlineStr">
        <is>
          <t>Q1</t>
        </is>
      </c>
      <c r="C570" t="inlineStr">
        <is>
          <t>Yes</t>
        </is>
      </c>
      <c r="D570" t="inlineStr">
        <is>
          <t>Yes</t>
        </is>
      </c>
      <c r="E570">
        <f>VLOOKUP(C570,CategoryMap,2,0)</f>
        <v/>
      </c>
      <c r="F570">
        <f>VLOOKUP(D570,CategoryMap,2,0)</f>
        <v/>
      </c>
      <c r="G570">
        <f>ABS(E570-F570)</f>
        <v/>
      </c>
      <c r="H570">
        <f>IF(G570=0,"Yes","No")</f>
        <v/>
      </c>
      <c r="I570" t="inlineStr">
        <is>
          <t>Yes</t>
        </is>
      </c>
      <c r="J570">
        <f>IF(I570="","",IF(AND(I570=C570,I570=D570),"Both",IF(I570=C570,"Opus",IF(I570=D570,"Sonnet","Neither"))))</f>
        <v/>
      </c>
    </row>
    <row r="571">
      <c r="A571" t="inlineStr">
        <is>
          <t>R176</t>
        </is>
      </c>
      <c r="B571" t="inlineStr">
        <is>
          <t>Q2</t>
        </is>
      </c>
      <c r="C571" t="inlineStr">
        <is>
          <t>Yes</t>
        </is>
      </c>
      <c r="D571" t="inlineStr">
        <is>
          <t>Yes</t>
        </is>
      </c>
      <c r="E571">
        <f>VLOOKUP(C571,CategoryMap,2,0)</f>
        <v/>
      </c>
      <c r="F571">
        <f>VLOOKUP(D571,CategoryMap,2,0)</f>
        <v/>
      </c>
      <c r="G571">
        <f>ABS(E571-F571)</f>
        <v/>
      </c>
      <c r="H571">
        <f>IF(G571=0,"Yes","No")</f>
        <v/>
      </c>
      <c r="I571" t="inlineStr">
        <is>
          <t>Yes</t>
        </is>
      </c>
      <c r="J571">
        <f>IF(I571="","",IF(AND(I571=C571,I571=D571),"Both",IF(I571=C571,"Opus",IF(I571=D571,"Sonnet","Neither"))))</f>
        <v/>
      </c>
    </row>
    <row r="572">
      <c r="A572" t="inlineStr">
        <is>
          <t>R176</t>
        </is>
      </c>
      <c r="B572" t="inlineStr">
        <is>
          <t>Q3</t>
        </is>
      </c>
      <c r="C572" t="inlineStr">
        <is>
          <t>Yes</t>
        </is>
      </c>
      <c r="D572" t="inlineStr">
        <is>
          <t>Yes</t>
        </is>
      </c>
      <c r="E572">
        <f>VLOOKUP(C572,CategoryMap,2,0)</f>
        <v/>
      </c>
      <c r="F572">
        <f>VLOOKUP(D572,CategoryMap,2,0)</f>
        <v/>
      </c>
      <c r="G572">
        <f>ABS(E572-F572)</f>
        <v/>
      </c>
      <c r="H572">
        <f>IF(G572=0,"Yes","No")</f>
        <v/>
      </c>
      <c r="I572" t="inlineStr">
        <is>
          <t>Yes</t>
        </is>
      </c>
      <c r="J572">
        <f>IF(I572="","",IF(AND(I572=C572,I572=D572),"Both",IF(I572=C572,"Opus",IF(I572=D572,"Sonnet","Neither"))))</f>
        <v/>
      </c>
    </row>
    <row r="573">
      <c r="A573" t="inlineStr">
        <is>
          <t>R176</t>
        </is>
      </c>
      <c r="B573" t="inlineStr">
        <is>
          <t>Q4</t>
        </is>
      </c>
      <c r="C573" t="inlineStr">
        <is>
          <t>Partial</t>
        </is>
      </c>
      <c r="D573" t="inlineStr">
        <is>
          <t>Partial</t>
        </is>
      </c>
      <c r="E573">
        <f>VLOOKUP(C573,CategoryMap,2,0)</f>
        <v/>
      </c>
      <c r="F573">
        <f>VLOOKUP(D573,CategoryMap,2,0)</f>
        <v/>
      </c>
      <c r="G573">
        <f>ABS(E573-F573)</f>
        <v/>
      </c>
      <c r="H573">
        <f>IF(G573=0,"Yes","No")</f>
        <v/>
      </c>
      <c r="I573" t="inlineStr">
        <is>
          <t>Partial</t>
        </is>
      </c>
      <c r="J573">
        <f>IF(I573="","",IF(AND(I573=C573,I573=D573),"Both",IF(I573=C573,"Opus",IF(I573=D573,"Sonnet","Neither"))))</f>
        <v/>
      </c>
    </row>
    <row r="574">
      <c r="A574" t="inlineStr">
        <is>
          <t>R176</t>
        </is>
      </c>
      <c r="B574" t="inlineStr">
        <is>
          <t>Q5</t>
        </is>
      </c>
      <c r="C574" t="inlineStr">
        <is>
          <t>Yes</t>
        </is>
      </c>
      <c r="D574" t="inlineStr">
        <is>
          <t>Yes</t>
        </is>
      </c>
      <c r="E574">
        <f>VLOOKUP(C574,CategoryMap,2,0)</f>
        <v/>
      </c>
      <c r="F574">
        <f>VLOOKUP(D574,CategoryMap,2,0)</f>
        <v/>
      </c>
      <c r="G574">
        <f>ABS(E574-F574)</f>
        <v/>
      </c>
      <c r="H574">
        <f>IF(G574=0,"Yes","No")</f>
        <v/>
      </c>
      <c r="I574" t="inlineStr">
        <is>
          <t>Yes</t>
        </is>
      </c>
      <c r="J574">
        <f>IF(I574="","",IF(AND(I574=C574,I574=D574),"Both",IF(I574=C574,"Opus",IF(I574=D574,"Sonnet","Neither"))))</f>
        <v/>
      </c>
    </row>
    <row r="575">
      <c r="A575" t="inlineStr">
        <is>
          <t>R176</t>
        </is>
      </c>
      <c r="B575" t="inlineStr">
        <is>
          <t>Q6</t>
        </is>
      </c>
      <c r="C575" t="inlineStr">
        <is>
          <t>Yes</t>
        </is>
      </c>
      <c r="D575" t="inlineStr">
        <is>
          <t>Yes</t>
        </is>
      </c>
      <c r="E575">
        <f>VLOOKUP(C575,CategoryMap,2,0)</f>
        <v/>
      </c>
      <c r="F575">
        <f>VLOOKUP(D575,CategoryMap,2,0)</f>
        <v/>
      </c>
      <c r="G575">
        <f>ABS(E575-F575)</f>
        <v/>
      </c>
      <c r="H575">
        <f>IF(G575=0,"Yes","No")</f>
        <v/>
      </c>
      <c r="I575" t="inlineStr">
        <is>
          <t>Yes</t>
        </is>
      </c>
      <c r="J575">
        <f>IF(I575="","",IF(AND(I575=C575,I575=D575),"Both",IF(I575=C575,"Opus",IF(I575=D575,"Sonnet","Neither"))))</f>
        <v/>
      </c>
    </row>
    <row r="576">
      <c r="A576" t="inlineStr">
        <is>
          <t>R176</t>
        </is>
      </c>
      <c r="B576" t="inlineStr">
        <is>
          <t>Q7</t>
        </is>
      </c>
      <c r="C576" t="inlineStr">
        <is>
          <t>Yes</t>
        </is>
      </c>
      <c r="D576" t="inlineStr">
        <is>
          <t>Yes</t>
        </is>
      </c>
      <c r="E576">
        <f>VLOOKUP(C576,CategoryMap,2,0)</f>
        <v/>
      </c>
      <c r="F576">
        <f>VLOOKUP(D576,CategoryMap,2,0)</f>
        <v/>
      </c>
      <c r="G576">
        <f>ABS(E576-F576)</f>
        <v/>
      </c>
      <c r="H576">
        <f>IF(G576=0,"Yes","No")</f>
        <v/>
      </c>
      <c r="I576" t="inlineStr">
        <is>
          <t>Yes</t>
        </is>
      </c>
      <c r="J576">
        <f>IF(I576="","",IF(AND(I576=C576,I576=D576),"Both",IF(I576=C576,"Opus",IF(I576=D576,"Sonnet","Neither"))))</f>
        <v/>
      </c>
    </row>
    <row r="577">
      <c r="A577" t="inlineStr">
        <is>
          <t>R176</t>
        </is>
      </c>
      <c r="B577" t="inlineStr">
        <is>
          <t>Q8</t>
        </is>
      </c>
      <c r="C577" t="inlineStr">
        <is>
          <t>Yes</t>
        </is>
      </c>
      <c r="D577" t="inlineStr">
        <is>
          <t>Partial</t>
        </is>
      </c>
      <c r="E577">
        <f>VLOOKUP(C577,CategoryMap,2,0)</f>
        <v/>
      </c>
      <c r="F577">
        <f>VLOOKUP(D577,CategoryMap,2,0)</f>
        <v/>
      </c>
      <c r="G577">
        <f>ABS(E577-F577)</f>
        <v/>
      </c>
      <c r="H577">
        <f>IF(G577=0,"Yes","No")</f>
        <v/>
      </c>
      <c r="I577" t="inlineStr">
        <is>
          <t>Yes</t>
        </is>
      </c>
      <c r="J577">
        <f>IF(I577="","",IF(AND(I577=C577,I577=D577),"Both",IF(I577=C577,"Opus",IF(I577=D577,"Sonnet","Neither"))))</f>
        <v/>
      </c>
    </row>
    <row r="578">
      <c r="A578" t="inlineStr">
        <is>
          <t>R182</t>
        </is>
      </c>
      <c r="B578" t="inlineStr">
        <is>
          <t>Q1</t>
        </is>
      </c>
      <c r="C578" t="inlineStr">
        <is>
          <t>No</t>
        </is>
      </c>
      <c r="D578" t="inlineStr">
        <is>
          <t>No</t>
        </is>
      </c>
      <c r="E578">
        <f>VLOOKUP(C578,CategoryMap,2,0)</f>
        <v/>
      </c>
      <c r="F578">
        <f>VLOOKUP(D578,CategoryMap,2,0)</f>
        <v/>
      </c>
      <c r="G578">
        <f>ABS(E578-F578)</f>
        <v/>
      </c>
      <c r="H578">
        <f>IF(G578=0,"Yes","No")</f>
        <v/>
      </c>
      <c r="I578" t="inlineStr">
        <is>
          <t>No</t>
        </is>
      </c>
      <c r="J578">
        <f>IF(I578="","",IF(AND(I578=C578,I578=D578),"Both",IF(I578=C578,"Opus",IF(I578=D578,"Sonnet","Neither"))))</f>
        <v/>
      </c>
    </row>
    <row r="579">
      <c r="A579" t="inlineStr">
        <is>
          <t>R182</t>
        </is>
      </c>
      <c r="B579" t="inlineStr">
        <is>
          <t>Q2</t>
        </is>
      </c>
      <c r="C579" t="inlineStr">
        <is>
          <t>No</t>
        </is>
      </c>
      <c r="D579" t="inlineStr">
        <is>
          <t>No</t>
        </is>
      </c>
      <c r="E579">
        <f>VLOOKUP(C579,CategoryMap,2,0)</f>
        <v/>
      </c>
      <c r="F579">
        <f>VLOOKUP(D579,CategoryMap,2,0)</f>
        <v/>
      </c>
      <c r="G579">
        <f>ABS(E579-F579)</f>
        <v/>
      </c>
      <c r="H579">
        <f>IF(G579=0,"Yes","No")</f>
        <v/>
      </c>
      <c r="I579" t="inlineStr">
        <is>
          <t>No</t>
        </is>
      </c>
      <c r="J579">
        <f>IF(I579="","",IF(AND(I579=C579,I579=D579),"Both",IF(I579=C579,"Opus",IF(I579=D579,"Sonnet","Neither"))))</f>
        <v/>
      </c>
    </row>
    <row r="580">
      <c r="A580" t="inlineStr">
        <is>
          <t>R182</t>
        </is>
      </c>
      <c r="B580" t="inlineStr">
        <is>
          <t>Q3</t>
        </is>
      </c>
      <c r="C580" t="inlineStr">
        <is>
          <t>Partial</t>
        </is>
      </c>
      <c r="D580" t="inlineStr">
        <is>
          <t>No</t>
        </is>
      </c>
      <c r="E580">
        <f>VLOOKUP(C580,CategoryMap,2,0)</f>
        <v/>
      </c>
      <c r="F580">
        <f>VLOOKUP(D580,CategoryMap,2,0)</f>
        <v/>
      </c>
      <c r="G580">
        <f>ABS(E580-F580)</f>
        <v/>
      </c>
      <c r="H580">
        <f>IF(G580=0,"Yes","No")</f>
        <v/>
      </c>
      <c r="I580" t="inlineStr">
        <is>
          <t>Partial</t>
        </is>
      </c>
      <c r="J580">
        <f>IF(I580="","",IF(AND(I580=C580,I580=D580),"Both",IF(I580=C580,"Opus",IF(I580=D580,"Sonnet","Neither"))))</f>
        <v/>
      </c>
    </row>
    <row r="581">
      <c r="A581" t="inlineStr">
        <is>
          <t>R182</t>
        </is>
      </c>
      <c r="B581" t="inlineStr">
        <is>
          <t>Q4</t>
        </is>
      </c>
      <c r="C581" t="inlineStr">
        <is>
          <t>Partial</t>
        </is>
      </c>
      <c r="D581" t="inlineStr">
        <is>
          <t>Yes</t>
        </is>
      </c>
      <c r="E581">
        <f>VLOOKUP(C581,CategoryMap,2,0)</f>
        <v/>
      </c>
      <c r="F581">
        <f>VLOOKUP(D581,CategoryMap,2,0)</f>
        <v/>
      </c>
      <c r="G581">
        <f>ABS(E581-F581)</f>
        <v/>
      </c>
      <c r="H581">
        <f>IF(G581=0,"Yes","No")</f>
        <v/>
      </c>
      <c r="I581" t="inlineStr">
        <is>
          <t>Partial</t>
        </is>
      </c>
      <c r="J581">
        <f>IF(I581="","",IF(AND(I581=C581,I581=D581),"Both",IF(I581=C581,"Opus",IF(I581=D581,"Sonnet","Neither"))))</f>
        <v/>
      </c>
    </row>
    <row r="582">
      <c r="A582" t="inlineStr">
        <is>
          <t>R182</t>
        </is>
      </c>
      <c r="B582" t="inlineStr">
        <is>
          <t>Q5</t>
        </is>
      </c>
      <c r="C582" t="inlineStr">
        <is>
          <t>Partial</t>
        </is>
      </c>
      <c r="D582" t="inlineStr">
        <is>
          <t>Partial</t>
        </is>
      </c>
      <c r="E582">
        <f>VLOOKUP(C582,CategoryMap,2,0)</f>
        <v/>
      </c>
      <c r="F582">
        <f>VLOOKUP(D582,CategoryMap,2,0)</f>
        <v/>
      </c>
      <c r="G582">
        <f>ABS(E582-F582)</f>
        <v/>
      </c>
      <c r="H582">
        <f>IF(G582=0,"Yes","No")</f>
        <v/>
      </c>
      <c r="I582" t="inlineStr">
        <is>
          <t>Partial</t>
        </is>
      </c>
      <c r="J582">
        <f>IF(I582="","",IF(AND(I582=C582,I582=D582),"Both",IF(I582=C582,"Opus",IF(I582=D582,"Sonnet","Neither"))))</f>
        <v/>
      </c>
    </row>
    <row r="583">
      <c r="A583" t="inlineStr">
        <is>
          <t>R182</t>
        </is>
      </c>
      <c r="B583" t="inlineStr">
        <is>
          <t>Q6</t>
        </is>
      </c>
      <c r="C583" t="inlineStr">
        <is>
          <t>Partial</t>
        </is>
      </c>
      <c r="D583" t="inlineStr">
        <is>
          <t>Partial</t>
        </is>
      </c>
      <c r="E583">
        <f>VLOOKUP(C583,CategoryMap,2,0)</f>
        <v/>
      </c>
      <c r="F583">
        <f>VLOOKUP(D583,CategoryMap,2,0)</f>
        <v/>
      </c>
      <c r="G583">
        <f>ABS(E583-F583)</f>
        <v/>
      </c>
      <c r="H583">
        <f>IF(G583=0,"Yes","No")</f>
        <v/>
      </c>
      <c r="I583" t="inlineStr">
        <is>
          <t>Partial</t>
        </is>
      </c>
      <c r="J583">
        <f>IF(I583="","",IF(AND(I583=C583,I583=D583),"Both",IF(I583=C583,"Opus",IF(I583=D583,"Sonnet","Neither"))))</f>
        <v/>
      </c>
    </row>
    <row r="584">
      <c r="A584" t="inlineStr">
        <is>
          <t>R182</t>
        </is>
      </c>
      <c r="B584" t="inlineStr">
        <is>
          <t>Q7</t>
        </is>
      </c>
      <c r="C584" t="inlineStr">
        <is>
          <t>Yes</t>
        </is>
      </c>
      <c r="D584" t="inlineStr">
        <is>
          <t>Yes</t>
        </is>
      </c>
      <c r="E584">
        <f>VLOOKUP(C584,CategoryMap,2,0)</f>
        <v/>
      </c>
      <c r="F584">
        <f>VLOOKUP(D584,CategoryMap,2,0)</f>
        <v/>
      </c>
      <c r="G584">
        <f>ABS(E584-F584)</f>
        <v/>
      </c>
      <c r="H584">
        <f>IF(G584=0,"Yes","No")</f>
        <v/>
      </c>
      <c r="I584" t="inlineStr">
        <is>
          <t>Yes</t>
        </is>
      </c>
      <c r="J584">
        <f>IF(I584="","",IF(AND(I584=C584,I584=D584),"Both",IF(I584=C584,"Opus",IF(I584=D584,"Sonnet","Neither"))))</f>
        <v/>
      </c>
    </row>
    <row r="585">
      <c r="A585" t="inlineStr">
        <is>
          <t>R182</t>
        </is>
      </c>
      <c r="B585" t="inlineStr">
        <is>
          <t>Q8</t>
        </is>
      </c>
      <c r="C585" t="inlineStr">
        <is>
          <t>No</t>
        </is>
      </c>
      <c r="D585" t="inlineStr">
        <is>
          <t>No</t>
        </is>
      </c>
      <c r="E585">
        <f>VLOOKUP(C585,CategoryMap,2,0)</f>
        <v/>
      </c>
      <c r="F585">
        <f>VLOOKUP(D585,CategoryMap,2,0)</f>
        <v/>
      </c>
      <c r="G585">
        <f>ABS(E585-F585)</f>
        <v/>
      </c>
      <c r="H585">
        <f>IF(G585=0,"Yes","No")</f>
        <v/>
      </c>
      <c r="I585" t="inlineStr">
        <is>
          <t>No</t>
        </is>
      </c>
      <c r="J585">
        <f>IF(I585="","",IF(AND(I585=C585,I585=D585),"Both",IF(I585=C585,"Opus",IF(I585=D585,"Sonnet","Neither"))))</f>
        <v/>
      </c>
    </row>
    <row r="586">
      <c r="A586" t="inlineStr">
        <is>
          <t>R183</t>
        </is>
      </c>
      <c r="B586" t="inlineStr">
        <is>
          <t>Q1</t>
        </is>
      </c>
      <c r="C586" t="inlineStr">
        <is>
          <t>Partial</t>
        </is>
      </c>
      <c r="D586" t="inlineStr">
        <is>
          <t>Partial</t>
        </is>
      </c>
      <c r="E586">
        <f>VLOOKUP(C586,CategoryMap,2,0)</f>
        <v/>
      </c>
      <c r="F586">
        <f>VLOOKUP(D586,CategoryMap,2,0)</f>
        <v/>
      </c>
      <c r="G586">
        <f>ABS(E586-F586)</f>
        <v/>
      </c>
      <c r="H586">
        <f>IF(G586=0,"Yes","No")</f>
        <v/>
      </c>
      <c r="I586" t="inlineStr">
        <is>
          <t>Partial</t>
        </is>
      </c>
      <c r="J586">
        <f>IF(I586="","",IF(AND(I586=C586,I586=D586),"Both",IF(I586=C586,"Opus",IF(I586=D586,"Sonnet","Neither"))))</f>
        <v/>
      </c>
    </row>
    <row r="587">
      <c r="A587" t="inlineStr">
        <is>
          <t>R183</t>
        </is>
      </c>
      <c r="B587" t="inlineStr">
        <is>
          <t>Q2</t>
        </is>
      </c>
      <c r="C587" t="inlineStr">
        <is>
          <t>Partial</t>
        </is>
      </c>
      <c r="D587" t="inlineStr">
        <is>
          <t>Partial</t>
        </is>
      </c>
      <c r="E587">
        <f>VLOOKUP(C587,CategoryMap,2,0)</f>
        <v/>
      </c>
      <c r="F587">
        <f>VLOOKUP(D587,CategoryMap,2,0)</f>
        <v/>
      </c>
      <c r="G587">
        <f>ABS(E587-F587)</f>
        <v/>
      </c>
      <c r="H587">
        <f>IF(G587=0,"Yes","No")</f>
        <v/>
      </c>
      <c r="I587" t="inlineStr">
        <is>
          <t>Partial</t>
        </is>
      </c>
      <c r="J587">
        <f>IF(I587="","",IF(AND(I587=C587,I587=D587),"Both",IF(I587=C587,"Opus",IF(I587=D587,"Sonnet","Neither"))))</f>
        <v/>
      </c>
    </row>
    <row r="588">
      <c r="A588" t="inlineStr">
        <is>
          <t>R183</t>
        </is>
      </c>
      <c r="B588" t="inlineStr">
        <is>
          <t>Q3</t>
        </is>
      </c>
      <c r="C588" t="inlineStr">
        <is>
          <t>Yes</t>
        </is>
      </c>
      <c r="D588" t="inlineStr">
        <is>
          <t>Yes</t>
        </is>
      </c>
      <c r="E588">
        <f>VLOOKUP(C588,CategoryMap,2,0)</f>
        <v/>
      </c>
      <c r="F588">
        <f>VLOOKUP(D588,CategoryMap,2,0)</f>
        <v/>
      </c>
      <c r="G588">
        <f>ABS(E588-F588)</f>
        <v/>
      </c>
      <c r="H588">
        <f>IF(G588=0,"Yes","No")</f>
        <v/>
      </c>
      <c r="I588" t="inlineStr">
        <is>
          <t>Yes</t>
        </is>
      </c>
      <c r="J588">
        <f>IF(I588="","",IF(AND(I588=C588,I588=D588),"Both",IF(I588=C588,"Opus",IF(I588=D588,"Sonnet","Neither"))))</f>
        <v/>
      </c>
    </row>
    <row r="589">
      <c r="A589" t="inlineStr">
        <is>
          <t>R183</t>
        </is>
      </c>
      <c r="B589" t="inlineStr">
        <is>
          <t>Q4</t>
        </is>
      </c>
      <c r="C589" t="inlineStr">
        <is>
          <t>Partial</t>
        </is>
      </c>
      <c r="D589" t="inlineStr">
        <is>
          <t>Partial</t>
        </is>
      </c>
      <c r="E589">
        <f>VLOOKUP(C589,CategoryMap,2,0)</f>
        <v/>
      </c>
      <c r="F589">
        <f>VLOOKUP(D589,CategoryMap,2,0)</f>
        <v/>
      </c>
      <c r="G589">
        <f>ABS(E589-F589)</f>
        <v/>
      </c>
      <c r="H589">
        <f>IF(G589=0,"Yes","No")</f>
        <v/>
      </c>
      <c r="I589" t="inlineStr">
        <is>
          <t>Partial</t>
        </is>
      </c>
      <c r="J589">
        <f>IF(I589="","",IF(AND(I589=C589,I589=D589),"Both",IF(I589=C589,"Opus",IF(I589=D589,"Sonnet","Neither"))))</f>
        <v/>
      </c>
    </row>
    <row r="590">
      <c r="A590" t="inlineStr">
        <is>
          <t>R183</t>
        </is>
      </c>
      <c r="B590" t="inlineStr">
        <is>
          <t>Q5</t>
        </is>
      </c>
      <c r="C590" t="inlineStr">
        <is>
          <t>Partial</t>
        </is>
      </c>
      <c r="D590" t="inlineStr">
        <is>
          <t>Yes</t>
        </is>
      </c>
      <c r="E590">
        <f>VLOOKUP(C590,CategoryMap,2,0)</f>
        <v/>
      </c>
      <c r="F590">
        <f>VLOOKUP(D590,CategoryMap,2,0)</f>
        <v/>
      </c>
      <c r="G590">
        <f>ABS(E590-F590)</f>
        <v/>
      </c>
      <c r="H590">
        <f>IF(G590=0,"Yes","No")</f>
        <v/>
      </c>
      <c r="I590" t="inlineStr">
        <is>
          <t>Partial</t>
        </is>
      </c>
      <c r="J590">
        <f>IF(I590="","",IF(AND(I590=C590,I590=D590),"Both",IF(I590=C590,"Opus",IF(I590=D590,"Sonnet","Neither"))))</f>
        <v/>
      </c>
    </row>
    <row r="591">
      <c r="A591" t="inlineStr">
        <is>
          <t>R183</t>
        </is>
      </c>
      <c r="B591" t="inlineStr">
        <is>
          <t>Q6</t>
        </is>
      </c>
      <c r="C591" t="inlineStr">
        <is>
          <t>Partial</t>
        </is>
      </c>
      <c r="D591" t="inlineStr">
        <is>
          <t>Yes</t>
        </is>
      </c>
      <c r="E591">
        <f>VLOOKUP(C591,CategoryMap,2,0)</f>
        <v/>
      </c>
      <c r="F591">
        <f>VLOOKUP(D591,CategoryMap,2,0)</f>
        <v/>
      </c>
      <c r="G591">
        <f>ABS(E591-F591)</f>
        <v/>
      </c>
      <c r="H591">
        <f>IF(G591=0,"Yes","No")</f>
        <v/>
      </c>
      <c r="I591" t="inlineStr">
        <is>
          <t>Partial</t>
        </is>
      </c>
      <c r="J591">
        <f>IF(I591="","",IF(AND(I591=C591,I591=D591),"Both",IF(I591=C591,"Opus",IF(I591=D591,"Sonnet","Neither"))))</f>
        <v/>
      </c>
    </row>
    <row r="592">
      <c r="A592" t="inlineStr">
        <is>
          <t>R183</t>
        </is>
      </c>
      <c r="B592" t="inlineStr">
        <is>
          <t>Q7</t>
        </is>
      </c>
      <c r="C592" t="inlineStr">
        <is>
          <t>No</t>
        </is>
      </c>
      <c r="D592" t="inlineStr">
        <is>
          <t>No</t>
        </is>
      </c>
      <c r="E592">
        <f>VLOOKUP(C592,CategoryMap,2,0)</f>
        <v/>
      </c>
      <c r="F592">
        <f>VLOOKUP(D592,CategoryMap,2,0)</f>
        <v/>
      </c>
      <c r="G592">
        <f>ABS(E592-F592)</f>
        <v/>
      </c>
      <c r="H592">
        <f>IF(G592=0,"Yes","No")</f>
        <v/>
      </c>
      <c r="I592" t="inlineStr">
        <is>
          <t>No</t>
        </is>
      </c>
      <c r="J592">
        <f>IF(I592="","",IF(AND(I592=C592,I592=D592),"Both",IF(I592=C592,"Opus",IF(I592=D592,"Sonnet","Neither"))))</f>
        <v/>
      </c>
    </row>
    <row r="593">
      <c r="A593" t="inlineStr">
        <is>
          <t>R183</t>
        </is>
      </c>
      <c r="B593" t="inlineStr">
        <is>
          <t>Q8</t>
        </is>
      </c>
      <c r="C593" t="inlineStr">
        <is>
          <t>Partial</t>
        </is>
      </c>
      <c r="D593" t="inlineStr">
        <is>
          <t>Partial</t>
        </is>
      </c>
      <c r="E593">
        <f>VLOOKUP(C593,CategoryMap,2,0)</f>
        <v/>
      </c>
      <c r="F593">
        <f>VLOOKUP(D593,CategoryMap,2,0)</f>
        <v/>
      </c>
      <c r="G593">
        <f>ABS(E593-F593)</f>
        <v/>
      </c>
      <c r="H593">
        <f>IF(G593=0,"Yes","No")</f>
        <v/>
      </c>
      <c r="I593" t="inlineStr">
        <is>
          <t>Partial</t>
        </is>
      </c>
      <c r="J593">
        <f>IF(I593="","",IF(AND(I593=C593,I593=D593),"Both",IF(I593=C593,"Opus",IF(I593=D593,"Sonnet","Neither"))))</f>
        <v/>
      </c>
    </row>
    <row r="594">
      <c r="A594" t="inlineStr">
        <is>
          <t>R185</t>
        </is>
      </c>
      <c r="B594" t="inlineStr">
        <is>
          <t>Q1</t>
        </is>
      </c>
      <c r="C594" t="inlineStr">
        <is>
          <t>Yes</t>
        </is>
      </c>
      <c r="D594" t="inlineStr">
        <is>
          <t>Yes</t>
        </is>
      </c>
      <c r="E594">
        <f>VLOOKUP(C594,CategoryMap,2,0)</f>
        <v/>
      </c>
      <c r="F594">
        <f>VLOOKUP(D594,CategoryMap,2,0)</f>
        <v/>
      </c>
      <c r="G594">
        <f>ABS(E594-F594)</f>
        <v/>
      </c>
      <c r="H594">
        <f>IF(G594=0,"Yes","No")</f>
        <v/>
      </c>
      <c r="I594" t="inlineStr">
        <is>
          <t>Yes</t>
        </is>
      </c>
      <c r="J594">
        <f>IF(I594="","",IF(AND(I594=C594,I594=D594),"Both",IF(I594=C594,"Opus",IF(I594=D594,"Sonnet","Neither"))))</f>
        <v/>
      </c>
    </row>
    <row r="595">
      <c r="A595" t="inlineStr">
        <is>
          <t>R185</t>
        </is>
      </c>
      <c r="B595" t="inlineStr">
        <is>
          <t>Q2</t>
        </is>
      </c>
      <c r="C595" t="inlineStr">
        <is>
          <t>Yes</t>
        </is>
      </c>
      <c r="D595" t="inlineStr">
        <is>
          <t>Yes</t>
        </is>
      </c>
      <c r="E595">
        <f>VLOOKUP(C595,CategoryMap,2,0)</f>
        <v/>
      </c>
      <c r="F595">
        <f>VLOOKUP(D595,CategoryMap,2,0)</f>
        <v/>
      </c>
      <c r="G595">
        <f>ABS(E595-F595)</f>
        <v/>
      </c>
      <c r="H595">
        <f>IF(G595=0,"Yes","No")</f>
        <v/>
      </c>
      <c r="I595" t="inlineStr">
        <is>
          <t>Yes</t>
        </is>
      </c>
      <c r="J595">
        <f>IF(I595="","",IF(AND(I595=C595,I595=D595),"Both",IF(I595=C595,"Opus",IF(I595=D595,"Sonnet","Neither"))))</f>
        <v/>
      </c>
    </row>
    <row r="596">
      <c r="A596" t="inlineStr">
        <is>
          <t>R185</t>
        </is>
      </c>
      <c r="B596" t="inlineStr">
        <is>
          <t>Q3</t>
        </is>
      </c>
      <c r="C596" t="inlineStr">
        <is>
          <t>Yes</t>
        </is>
      </c>
      <c r="D596" t="inlineStr">
        <is>
          <t>Yes</t>
        </is>
      </c>
      <c r="E596">
        <f>VLOOKUP(C596,CategoryMap,2,0)</f>
        <v/>
      </c>
      <c r="F596">
        <f>VLOOKUP(D596,CategoryMap,2,0)</f>
        <v/>
      </c>
      <c r="G596">
        <f>ABS(E596-F596)</f>
        <v/>
      </c>
      <c r="H596">
        <f>IF(G596=0,"Yes","No")</f>
        <v/>
      </c>
      <c r="I596" t="inlineStr">
        <is>
          <t>Yes</t>
        </is>
      </c>
      <c r="J596">
        <f>IF(I596="","",IF(AND(I596=C596,I596=D596),"Both",IF(I596=C596,"Opus",IF(I596=D596,"Sonnet","Neither"))))</f>
        <v/>
      </c>
    </row>
    <row r="597">
      <c r="A597" t="inlineStr">
        <is>
          <t>R185</t>
        </is>
      </c>
      <c r="B597" t="inlineStr">
        <is>
          <t>Q4</t>
        </is>
      </c>
      <c r="C597" t="inlineStr">
        <is>
          <t>Partial</t>
        </is>
      </c>
      <c r="D597" t="inlineStr">
        <is>
          <t>Partial</t>
        </is>
      </c>
      <c r="E597">
        <f>VLOOKUP(C597,CategoryMap,2,0)</f>
        <v/>
      </c>
      <c r="F597">
        <f>VLOOKUP(D597,CategoryMap,2,0)</f>
        <v/>
      </c>
      <c r="G597">
        <f>ABS(E597-F597)</f>
        <v/>
      </c>
      <c r="H597">
        <f>IF(G597=0,"Yes","No")</f>
        <v/>
      </c>
      <c r="I597" t="inlineStr">
        <is>
          <t>Partial</t>
        </is>
      </c>
      <c r="J597">
        <f>IF(I597="","",IF(AND(I597=C597,I597=D597),"Both",IF(I597=C597,"Opus",IF(I597=D597,"Sonnet","Neither"))))</f>
        <v/>
      </c>
    </row>
    <row r="598">
      <c r="A598" t="inlineStr">
        <is>
          <t>R185</t>
        </is>
      </c>
      <c r="B598" t="inlineStr">
        <is>
          <t>Q5</t>
        </is>
      </c>
      <c r="C598" t="inlineStr">
        <is>
          <t>Partial</t>
        </is>
      </c>
      <c r="D598" t="inlineStr">
        <is>
          <t>Yes</t>
        </is>
      </c>
      <c r="E598">
        <f>VLOOKUP(C598,CategoryMap,2,0)</f>
        <v/>
      </c>
      <c r="F598">
        <f>VLOOKUP(D598,CategoryMap,2,0)</f>
        <v/>
      </c>
      <c r="G598">
        <f>ABS(E598-F598)</f>
        <v/>
      </c>
      <c r="H598">
        <f>IF(G598=0,"Yes","No")</f>
        <v/>
      </c>
      <c r="I598" t="inlineStr">
        <is>
          <t>Partial</t>
        </is>
      </c>
      <c r="J598">
        <f>IF(I598="","",IF(AND(I598=C598,I598=D598),"Both",IF(I598=C598,"Opus",IF(I598=D598,"Sonnet","Neither"))))</f>
        <v/>
      </c>
    </row>
    <row r="599">
      <c r="A599" t="inlineStr">
        <is>
          <t>R185</t>
        </is>
      </c>
      <c r="B599" t="inlineStr">
        <is>
          <t>Q6</t>
        </is>
      </c>
      <c r="C599" t="inlineStr">
        <is>
          <t>Partial</t>
        </is>
      </c>
      <c r="D599" t="inlineStr">
        <is>
          <t>Partial</t>
        </is>
      </c>
      <c r="E599">
        <f>VLOOKUP(C599,CategoryMap,2,0)</f>
        <v/>
      </c>
      <c r="F599">
        <f>VLOOKUP(D599,CategoryMap,2,0)</f>
        <v/>
      </c>
      <c r="G599">
        <f>ABS(E599-F599)</f>
        <v/>
      </c>
      <c r="H599">
        <f>IF(G599=0,"Yes","No")</f>
        <v/>
      </c>
      <c r="I599" t="inlineStr">
        <is>
          <t>Partial</t>
        </is>
      </c>
      <c r="J599">
        <f>IF(I599="","",IF(AND(I599=C599,I599=D599),"Both",IF(I599=C599,"Opus",IF(I599=D599,"Sonnet","Neither"))))</f>
        <v/>
      </c>
    </row>
    <row r="600">
      <c r="A600" t="inlineStr">
        <is>
          <t>R185</t>
        </is>
      </c>
      <c r="B600" t="inlineStr">
        <is>
          <t>Q7</t>
        </is>
      </c>
      <c r="C600" t="inlineStr">
        <is>
          <t>Partial</t>
        </is>
      </c>
      <c r="D600" t="inlineStr">
        <is>
          <t>Yes</t>
        </is>
      </c>
      <c r="E600">
        <f>VLOOKUP(C600,CategoryMap,2,0)</f>
        <v/>
      </c>
      <c r="F600">
        <f>VLOOKUP(D600,CategoryMap,2,0)</f>
        <v/>
      </c>
      <c r="G600">
        <f>ABS(E600-F600)</f>
        <v/>
      </c>
      <c r="H600">
        <f>IF(G600=0,"Yes","No")</f>
        <v/>
      </c>
      <c r="I600" t="inlineStr">
        <is>
          <t>Yes</t>
        </is>
      </c>
      <c r="J600">
        <f>IF(I600="","",IF(AND(I600=C600,I600=D600),"Both",IF(I600=C600,"Opus",IF(I600=D600,"Sonnet","Neither"))))</f>
        <v/>
      </c>
    </row>
    <row r="601">
      <c r="A601" t="inlineStr">
        <is>
          <t>R185</t>
        </is>
      </c>
      <c r="B601" t="inlineStr">
        <is>
          <t>Q8</t>
        </is>
      </c>
      <c r="C601" t="inlineStr">
        <is>
          <t>Partial</t>
        </is>
      </c>
      <c r="D601" t="inlineStr">
        <is>
          <t>Partial</t>
        </is>
      </c>
      <c r="E601">
        <f>VLOOKUP(C601,CategoryMap,2,0)</f>
        <v/>
      </c>
      <c r="F601">
        <f>VLOOKUP(D601,CategoryMap,2,0)</f>
        <v/>
      </c>
      <c r="G601">
        <f>ABS(E601-F601)</f>
        <v/>
      </c>
      <c r="H601">
        <f>IF(G601=0,"Yes","No")</f>
        <v/>
      </c>
      <c r="I601" t="inlineStr">
        <is>
          <t>Partial</t>
        </is>
      </c>
      <c r="J601">
        <f>IF(I601="","",IF(AND(I601=C601,I601=D601),"Both",IF(I601=C601,"Opus",IF(I601=D601,"Sonnet","Neither"))))</f>
        <v/>
      </c>
    </row>
    <row r="602">
      <c r="A602" t="inlineStr">
        <is>
          <t>R186</t>
        </is>
      </c>
      <c r="B602" t="inlineStr">
        <is>
          <t>Q1</t>
        </is>
      </c>
      <c r="C602" t="inlineStr">
        <is>
          <t>Partial</t>
        </is>
      </c>
      <c r="D602" t="inlineStr">
        <is>
          <t>Partial</t>
        </is>
      </c>
      <c r="E602">
        <f>VLOOKUP(C602,CategoryMap,2,0)</f>
        <v/>
      </c>
      <c r="F602">
        <f>VLOOKUP(D602,CategoryMap,2,0)</f>
        <v/>
      </c>
      <c r="G602">
        <f>ABS(E602-F602)</f>
        <v/>
      </c>
      <c r="H602">
        <f>IF(G602=0,"Yes","No")</f>
        <v/>
      </c>
      <c r="I602" t="inlineStr">
        <is>
          <t>Partial</t>
        </is>
      </c>
      <c r="J602">
        <f>IF(I602="","",IF(AND(I602=C602,I602=D602),"Both",IF(I602=C602,"Opus",IF(I602=D602,"Sonnet","Neither"))))</f>
        <v/>
      </c>
    </row>
    <row r="603">
      <c r="A603" t="inlineStr">
        <is>
          <t>R186</t>
        </is>
      </c>
      <c r="B603" t="inlineStr">
        <is>
          <t>Q2</t>
        </is>
      </c>
      <c r="C603" t="inlineStr">
        <is>
          <t>Partial</t>
        </is>
      </c>
      <c r="D603" t="inlineStr">
        <is>
          <t>Partial</t>
        </is>
      </c>
      <c r="E603">
        <f>VLOOKUP(C603,CategoryMap,2,0)</f>
        <v/>
      </c>
      <c r="F603">
        <f>VLOOKUP(D603,CategoryMap,2,0)</f>
        <v/>
      </c>
      <c r="G603">
        <f>ABS(E603-F603)</f>
        <v/>
      </c>
      <c r="H603">
        <f>IF(G603=0,"Yes","No")</f>
        <v/>
      </c>
      <c r="I603" t="inlineStr">
        <is>
          <t>Partial</t>
        </is>
      </c>
      <c r="J603">
        <f>IF(I603="","",IF(AND(I603=C603,I603=D603),"Both",IF(I603=C603,"Opus",IF(I603=D603,"Sonnet","Neither"))))</f>
        <v/>
      </c>
    </row>
    <row r="604">
      <c r="A604" t="inlineStr">
        <is>
          <t>R186</t>
        </is>
      </c>
      <c r="B604" t="inlineStr">
        <is>
          <t>Q3</t>
        </is>
      </c>
      <c r="C604" t="inlineStr">
        <is>
          <t>Yes</t>
        </is>
      </c>
      <c r="D604" t="inlineStr">
        <is>
          <t>Yes</t>
        </is>
      </c>
      <c r="E604">
        <f>VLOOKUP(C604,CategoryMap,2,0)</f>
        <v/>
      </c>
      <c r="F604">
        <f>VLOOKUP(D604,CategoryMap,2,0)</f>
        <v/>
      </c>
      <c r="G604">
        <f>ABS(E604-F604)</f>
        <v/>
      </c>
      <c r="H604">
        <f>IF(G604=0,"Yes","No")</f>
        <v/>
      </c>
      <c r="I604" t="inlineStr">
        <is>
          <t>Yes</t>
        </is>
      </c>
      <c r="J604">
        <f>IF(I604="","",IF(AND(I604=C604,I604=D604),"Both",IF(I604=C604,"Opus",IF(I604=D604,"Sonnet","Neither"))))</f>
        <v/>
      </c>
    </row>
    <row r="605">
      <c r="A605" t="inlineStr">
        <is>
          <t>R186</t>
        </is>
      </c>
      <c r="B605" t="inlineStr">
        <is>
          <t>Q4</t>
        </is>
      </c>
      <c r="C605" t="inlineStr">
        <is>
          <t>No</t>
        </is>
      </c>
      <c r="D605" t="inlineStr">
        <is>
          <t>No</t>
        </is>
      </c>
      <c r="E605">
        <f>VLOOKUP(C605,CategoryMap,2,0)</f>
        <v/>
      </c>
      <c r="F605">
        <f>VLOOKUP(D605,CategoryMap,2,0)</f>
        <v/>
      </c>
      <c r="G605">
        <f>ABS(E605-F605)</f>
        <v/>
      </c>
      <c r="H605">
        <f>IF(G605=0,"Yes","No")</f>
        <v/>
      </c>
      <c r="I605" t="inlineStr">
        <is>
          <t>No</t>
        </is>
      </c>
      <c r="J605">
        <f>IF(I605="","",IF(AND(I605=C605,I605=D605),"Both",IF(I605=C605,"Opus",IF(I605=D605,"Sonnet","Neither"))))</f>
        <v/>
      </c>
    </row>
    <row r="606">
      <c r="A606" t="inlineStr">
        <is>
          <t>R186</t>
        </is>
      </c>
      <c r="B606" t="inlineStr">
        <is>
          <t>Q5</t>
        </is>
      </c>
      <c r="C606" t="inlineStr">
        <is>
          <t>Partial</t>
        </is>
      </c>
      <c r="D606" t="inlineStr">
        <is>
          <t>Partial</t>
        </is>
      </c>
      <c r="E606">
        <f>VLOOKUP(C606,CategoryMap,2,0)</f>
        <v/>
      </c>
      <c r="F606">
        <f>VLOOKUP(D606,CategoryMap,2,0)</f>
        <v/>
      </c>
      <c r="G606">
        <f>ABS(E606-F606)</f>
        <v/>
      </c>
      <c r="H606">
        <f>IF(G606=0,"Yes","No")</f>
        <v/>
      </c>
      <c r="I606" t="inlineStr">
        <is>
          <t>Partial</t>
        </is>
      </c>
      <c r="J606">
        <f>IF(I606="","",IF(AND(I606=C606,I606=D606),"Both",IF(I606=C606,"Opus",IF(I606=D606,"Sonnet","Neither"))))</f>
        <v/>
      </c>
    </row>
    <row r="607">
      <c r="A607" t="inlineStr">
        <is>
          <t>R186</t>
        </is>
      </c>
      <c r="B607" t="inlineStr">
        <is>
          <t>Q6</t>
        </is>
      </c>
      <c r="C607" t="inlineStr">
        <is>
          <t>Partial</t>
        </is>
      </c>
      <c r="D607" t="inlineStr">
        <is>
          <t>Yes</t>
        </is>
      </c>
      <c r="E607">
        <f>VLOOKUP(C607,CategoryMap,2,0)</f>
        <v/>
      </c>
      <c r="F607">
        <f>VLOOKUP(D607,CategoryMap,2,0)</f>
        <v/>
      </c>
      <c r="G607">
        <f>ABS(E607-F607)</f>
        <v/>
      </c>
      <c r="H607">
        <f>IF(G607=0,"Yes","No")</f>
        <v/>
      </c>
      <c r="I607" t="inlineStr">
        <is>
          <t>Partial</t>
        </is>
      </c>
      <c r="J607">
        <f>IF(I607="","",IF(AND(I607=C607,I607=D607),"Both",IF(I607=C607,"Opus",IF(I607=D607,"Sonnet","Neither"))))</f>
        <v/>
      </c>
    </row>
    <row r="608">
      <c r="A608" t="inlineStr">
        <is>
          <t>R186</t>
        </is>
      </c>
      <c r="B608" t="inlineStr">
        <is>
          <t>Q7</t>
        </is>
      </c>
      <c r="C608" t="inlineStr">
        <is>
          <t>No</t>
        </is>
      </c>
      <c r="D608" t="inlineStr">
        <is>
          <t>Partial</t>
        </is>
      </c>
      <c r="E608">
        <f>VLOOKUP(C608,CategoryMap,2,0)</f>
        <v/>
      </c>
      <c r="F608">
        <f>VLOOKUP(D608,CategoryMap,2,0)</f>
        <v/>
      </c>
      <c r="G608">
        <f>ABS(E608-F608)</f>
        <v/>
      </c>
      <c r="H608">
        <f>IF(G608=0,"Yes","No")</f>
        <v/>
      </c>
      <c r="I608" t="inlineStr">
        <is>
          <t>Partial</t>
        </is>
      </c>
      <c r="J608">
        <f>IF(I608="","",IF(AND(I608=C608,I608=D608),"Both",IF(I608=C608,"Opus",IF(I608=D608,"Sonnet","Neither"))))</f>
        <v/>
      </c>
    </row>
    <row r="609">
      <c r="A609" t="inlineStr">
        <is>
          <t>R186</t>
        </is>
      </c>
      <c r="B609" t="inlineStr">
        <is>
          <t>Q8</t>
        </is>
      </c>
      <c r="C609" t="inlineStr">
        <is>
          <t>Partial</t>
        </is>
      </c>
      <c r="D609" t="inlineStr">
        <is>
          <t>Partial</t>
        </is>
      </c>
      <c r="E609">
        <f>VLOOKUP(C609,CategoryMap,2,0)</f>
        <v/>
      </c>
      <c r="F609">
        <f>VLOOKUP(D609,CategoryMap,2,0)</f>
        <v/>
      </c>
      <c r="G609">
        <f>ABS(E609-F609)</f>
        <v/>
      </c>
      <c r="H609">
        <f>IF(G609=0,"Yes","No")</f>
        <v/>
      </c>
      <c r="I609" t="inlineStr">
        <is>
          <t>Partial</t>
        </is>
      </c>
      <c r="J609">
        <f>IF(I609="","",IF(AND(I609=C609,I609=D609),"Both",IF(I609=C609,"Opus",IF(I609=D609,"Sonnet","Neither"))))</f>
        <v/>
      </c>
    </row>
    <row r="610">
      <c r="A610" t="inlineStr">
        <is>
          <t>R189</t>
        </is>
      </c>
      <c r="B610" t="inlineStr">
        <is>
          <t>Q1</t>
        </is>
      </c>
      <c r="C610" t="inlineStr">
        <is>
          <t>No</t>
        </is>
      </c>
      <c r="D610" t="inlineStr">
        <is>
          <t>No</t>
        </is>
      </c>
      <c r="E610">
        <f>VLOOKUP(C610,CategoryMap,2,0)</f>
        <v/>
      </c>
      <c r="F610">
        <f>VLOOKUP(D610,CategoryMap,2,0)</f>
        <v/>
      </c>
      <c r="G610">
        <f>ABS(E610-F610)</f>
        <v/>
      </c>
      <c r="H610">
        <f>IF(G610=0,"Yes","No")</f>
        <v/>
      </c>
      <c r="I610" t="inlineStr">
        <is>
          <t>No</t>
        </is>
      </c>
      <c r="J610">
        <f>IF(I610="","",IF(AND(I610=C610,I610=D610),"Both",IF(I610=C610,"Opus",IF(I610=D610,"Sonnet","Neither"))))</f>
        <v/>
      </c>
    </row>
    <row r="611">
      <c r="A611" t="inlineStr">
        <is>
          <t>R189</t>
        </is>
      </c>
      <c r="B611" t="inlineStr">
        <is>
          <t>Q2</t>
        </is>
      </c>
      <c r="C611" t="inlineStr">
        <is>
          <t>Yes</t>
        </is>
      </c>
      <c r="D611" t="inlineStr">
        <is>
          <t>No</t>
        </is>
      </c>
      <c r="E611">
        <f>VLOOKUP(C611,CategoryMap,2,0)</f>
        <v/>
      </c>
      <c r="F611">
        <f>VLOOKUP(D611,CategoryMap,2,0)</f>
        <v/>
      </c>
      <c r="G611">
        <f>ABS(E611-F611)</f>
        <v/>
      </c>
      <c r="H611">
        <f>IF(G611=0,"Yes","No")</f>
        <v/>
      </c>
      <c r="I611" t="inlineStr">
        <is>
          <t>No</t>
        </is>
      </c>
      <c r="J611">
        <f>IF(I611="","",IF(AND(I611=C611,I611=D611),"Both",IF(I611=C611,"Opus",IF(I611=D611,"Sonnet","Neither"))))</f>
        <v/>
      </c>
    </row>
    <row r="612">
      <c r="A612" t="inlineStr">
        <is>
          <t>R189</t>
        </is>
      </c>
      <c r="B612" t="inlineStr">
        <is>
          <t>Q3</t>
        </is>
      </c>
      <c r="C612" t="inlineStr">
        <is>
          <t>No</t>
        </is>
      </c>
      <c r="D612" t="inlineStr">
        <is>
          <t>No</t>
        </is>
      </c>
      <c r="E612">
        <f>VLOOKUP(C612,CategoryMap,2,0)</f>
        <v/>
      </c>
      <c r="F612">
        <f>VLOOKUP(D612,CategoryMap,2,0)</f>
        <v/>
      </c>
      <c r="G612">
        <f>ABS(E612-F612)</f>
        <v/>
      </c>
      <c r="H612">
        <f>IF(G612=0,"Yes","No")</f>
        <v/>
      </c>
      <c r="I612" t="inlineStr">
        <is>
          <t>No</t>
        </is>
      </c>
      <c r="J612">
        <f>IF(I612="","",IF(AND(I612=C612,I612=D612),"Both",IF(I612=C612,"Opus",IF(I612=D612,"Sonnet","Neither"))))</f>
        <v/>
      </c>
    </row>
    <row r="613">
      <c r="A613" t="inlineStr">
        <is>
          <t>R189</t>
        </is>
      </c>
      <c r="B613" t="inlineStr">
        <is>
          <t>Q4</t>
        </is>
      </c>
      <c r="C613" t="inlineStr">
        <is>
          <t>No</t>
        </is>
      </c>
      <c r="D613" t="inlineStr">
        <is>
          <t>Yes</t>
        </is>
      </c>
      <c r="E613">
        <f>VLOOKUP(C613,CategoryMap,2,0)</f>
        <v/>
      </c>
      <c r="F613">
        <f>VLOOKUP(D613,CategoryMap,2,0)</f>
        <v/>
      </c>
      <c r="G613">
        <f>ABS(E613-F613)</f>
        <v/>
      </c>
      <c r="H613">
        <f>IF(G613=0,"Yes","No")</f>
        <v/>
      </c>
      <c r="I613" t="inlineStr">
        <is>
          <t>No</t>
        </is>
      </c>
      <c r="J613">
        <f>IF(I613="","",IF(AND(I613=C613,I613=D613),"Both",IF(I613=C613,"Opus",IF(I613=D613,"Sonnet","Neither"))))</f>
        <v/>
      </c>
    </row>
    <row r="614">
      <c r="A614" t="inlineStr">
        <is>
          <t>R189</t>
        </is>
      </c>
      <c r="B614" t="inlineStr">
        <is>
          <t>Q5</t>
        </is>
      </c>
      <c r="C614" t="inlineStr">
        <is>
          <t>Partial</t>
        </is>
      </c>
      <c r="D614" t="inlineStr">
        <is>
          <t>Partial</t>
        </is>
      </c>
      <c r="E614">
        <f>VLOOKUP(C614,CategoryMap,2,0)</f>
        <v/>
      </c>
      <c r="F614">
        <f>VLOOKUP(D614,CategoryMap,2,0)</f>
        <v/>
      </c>
      <c r="G614">
        <f>ABS(E614-F614)</f>
        <v/>
      </c>
      <c r="H614">
        <f>IF(G614=0,"Yes","No")</f>
        <v/>
      </c>
      <c r="I614" t="inlineStr">
        <is>
          <t>Partial</t>
        </is>
      </c>
      <c r="J614">
        <f>IF(I614="","",IF(AND(I614=C614,I614=D614),"Both",IF(I614=C614,"Opus",IF(I614=D614,"Sonnet","Neither"))))</f>
        <v/>
      </c>
    </row>
    <row r="615">
      <c r="A615" t="inlineStr">
        <is>
          <t>R189</t>
        </is>
      </c>
      <c r="B615" t="inlineStr">
        <is>
          <t>Q6</t>
        </is>
      </c>
      <c r="C615" t="inlineStr">
        <is>
          <t>Partial</t>
        </is>
      </c>
      <c r="D615" t="inlineStr">
        <is>
          <t>Partial</t>
        </is>
      </c>
      <c r="E615">
        <f>VLOOKUP(C615,CategoryMap,2,0)</f>
        <v/>
      </c>
      <c r="F615">
        <f>VLOOKUP(D615,CategoryMap,2,0)</f>
        <v/>
      </c>
      <c r="G615">
        <f>ABS(E615-F615)</f>
        <v/>
      </c>
      <c r="H615">
        <f>IF(G615=0,"Yes","No")</f>
        <v/>
      </c>
      <c r="I615" t="inlineStr">
        <is>
          <t>Partial</t>
        </is>
      </c>
      <c r="J615">
        <f>IF(I615="","",IF(AND(I615=C615,I615=D615),"Both",IF(I615=C615,"Opus",IF(I615=D615,"Sonnet","Neither"))))</f>
        <v/>
      </c>
    </row>
    <row r="616">
      <c r="A616" t="inlineStr">
        <is>
          <t>R189</t>
        </is>
      </c>
      <c r="B616" t="inlineStr">
        <is>
          <t>Q7</t>
        </is>
      </c>
      <c r="C616" t="inlineStr">
        <is>
          <t>No</t>
        </is>
      </c>
      <c r="D616" t="inlineStr">
        <is>
          <t>Yes</t>
        </is>
      </c>
      <c r="E616">
        <f>VLOOKUP(C616,CategoryMap,2,0)</f>
        <v/>
      </c>
      <c r="F616">
        <f>VLOOKUP(D616,CategoryMap,2,0)</f>
        <v/>
      </c>
      <c r="G616">
        <f>ABS(E616-F616)</f>
        <v/>
      </c>
      <c r="H616">
        <f>IF(G616=0,"Yes","No")</f>
        <v/>
      </c>
      <c r="I616" t="inlineStr">
        <is>
          <t>No</t>
        </is>
      </c>
      <c r="J616">
        <f>IF(I616="","",IF(AND(I616=C616,I616=D616),"Both",IF(I616=C616,"Opus",IF(I616=D616,"Sonnet","Neither"))))</f>
        <v/>
      </c>
    </row>
    <row r="617">
      <c r="A617" t="inlineStr">
        <is>
          <t>R189</t>
        </is>
      </c>
      <c r="B617" t="inlineStr">
        <is>
          <t>Q8</t>
        </is>
      </c>
      <c r="C617" t="inlineStr">
        <is>
          <t>No</t>
        </is>
      </c>
      <c r="D617" t="inlineStr">
        <is>
          <t>No</t>
        </is>
      </c>
      <c r="E617">
        <f>VLOOKUP(C617,CategoryMap,2,0)</f>
        <v/>
      </c>
      <c r="F617">
        <f>VLOOKUP(D617,CategoryMap,2,0)</f>
        <v/>
      </c>
      <c r="G617">
        <f>ABS(E617-F617)</f>
        <v/>
      </c>
      <c r="H617">
        <f>IF(G617=0,"Yes","No")</f>
        <v/>
      </c>
      <c r="I617" t="inlineStr">
        <is>
          <t>No</t>
        </is>
      </c>
      <c r="J617">
        <f>IF(I617="","",IF(AND(I617=C617,I617=D617),"Both",IF(I617=C617,"Opus",IF(I617=D617,"Sonnet","Neither"))))</f>
        <v/>
      </c>
    </row>
    <row r="618">
      <c r="A618" t="inlineStr">
        <is>
          <t>R190</t>
        </is>
      </c>
      <c r="B618" t="inlineStr">
        <is>
          <t>Q1</t>
        </is>
      </c>
      <c r="C618" t="inlineStr">
        <is>
          <t>Yes</t>
        </is>
      </c>
      <c r="D618" t="inlineStr">
        <is>
          <t>Yes</t>
        </is>
      </c>
      <c r="E618">
        <f>VLOOKUP(C618,CategoryMap,2,0)</f>
        <v/>
      </c>
      <c r="F618">
        <f>VLOOKUP(D618,CategoryMap,2,0)</f>
        <v/>
      </c>
      <c r="G618">
        <f>ABS(E618-F618)</f>
        <v/>
      </c>
      <c r="H618">
        <f>IF(G618=0,"Yes","No")</f>
        <v/>
      </c>
      <c r="I618" t="inlineStr">
        <is>
          <t>Yes</t>
        </is>
      </c>
      <c r="J618">
        <f>IF(I618="","",IF(AND(I618=C618,I618=D618),"Both",IF(I618=C618,"Opus",IF(I618=D618,"Sonnet","Neither"))))</f>
        <v/>
      </c>
    </row>
    <row r="619">
      <c r="A619" t="inlineStr">
        <is>
          <t>R190</t>
        </is>
      </c>
      <c r="B619" t="inlineStr">
        <is>
          <t>Q2</t>
        </is>
      </c>
      <c r="C619" t="inlineStr">
        <is>
          <t>Yes</t>
        </is>
      </c>
      <c r="D619" t="inlineStr">
        <is>
          <t>Yes</t>
        </is>
      </c>
      <c r="E619">
        <f>VLOOKUP(C619,CategoryMap,2,0)</f>
        <v/>
      </c>
      <c r="F619">
        <f>VLOOKUP(D619,CategoryMap,2,0)</f>
        <v/>
      </c>
      <c r="G619">
        <f>ABS(E619-F619)</f>
        <v/>
      </c>
      <c r="H619">
        <f>IF(G619=0,"Yes","No")</f>
        <v/>
      </c>
      <c r="I619" t="inlineStr">
        <is>
          <t>Yes</t>
        </is>
      </c>
      <c r="J619">
        <f>IF(I619="","",IF(AND(I619=C619,I619=D619),"Both",IF(I619=C619,"Opus",IF(I619=D619,"Sonnet","Neither"))))</f>
        <v/>
      </c>
    </row>
    <row r="620">
      <c r="A620" t="inlineStr">
        <is>
          <t>R190</t>
        </is>
      </c>
      <c r="B620" t="inlineStr">
        <is>
          <t>Q3</t>
        </is>
      </c>
      <c r="C620" t="inlineStr">
        <is>
          <t>Yes</t>
        </is>
      </c>
      <c r="D620" t="inlineStr">
        <is>
          <t>Yes</t>
        </is>
      </c>
      <c r="E620">
        <f>VLOOKUP(C620,CategoryMap,2,0)</f>
        <v/>
      </c>
      <c r="F620">
        <f>VLOOKUP(D620,CategoryMap,2,0)</f>
        <v/>
      </c>
      <c r="G620">
        <f>ABS(E620-F620)</f>
        <v/>
      </c>
      <c r="H620">
        <f>IF(G620=0,"Yes","No")</f>
        <v/>
      </c>
      <c r="I620" t="inlineStr">
        <is>
          <t>Yes</t>
        </is>
      </c>
      <c r="J620">
        <f>IF(I620="","",IF(AND(I620=C620,I620=D620),"Both",IF(I620=C620,"Opus",IF(I620=D620,"Sonnet","Neither"))))</f>
        <v/>
      </c>
    </row>
    <row r="621">
      <c r="A621" t="inlineStr">
        <is>
          <t>R190</t>
        </is>
      </c>
      <c r="B621" t="inlineStr">
        <is>
          <t>Q4</t>
        </is>
      </c>
      <c r="C621" t="inlineStr">
        <is>
          <t>Partial</t>
        </is>
      </c>
      <c r="D621" t="inlineStr">
        <is>
          <t>Partial</t>
        </is>
      </c>
      <c r="E621">
        <f>VLOOKUP(C621,CategoryMap,2,0)</f>
        <v/>
      </c>
      <c r="F621">
        <f>VLOOKUP(D621,CategoryMap,2,0)</f>
        <v/>
      </c>
      <c r="G621">
        <f>ABS(E621-F621)</f>
        <v/>
      </c>
      <c r="H621">
        <f>IF(G621=0,"Yes","No")</f>
        <v/>
      </c>
      <c r="I621" t="inlineStr">
        <is>
          <t>Partial</t>
        </is>
      </c>
      <c r="J621">
        <f>IF(I621="","",IF(AND(I621=C621,I621=D621),"Both",IF(I621=C621,"Opus",IF(I621=D621,"Sonnet","Neither"))))</f>
        <v/>
      </c>
    </row>
    <row r="622">
      <c r="A622" t="inlineStr">
        <is>
          <t>R190</t>
        </is>
      </c>
      <c r="B622" t="inlineStr">
        <is>
          <t>Q5</t>
        </is>
      </c>
      <c r="C622" t="inlineStr">
        <is>
          <t>No</t>
        </is>
      </c>
      <c r="D622" t="inlineStr">
        <is>
          <t>No</t>
        </is>
      </c>
      <c r="E622">
        <f>VLOOKUP(C622,CategoryMap,2,0)</f>
        <v/>
      </c>
      <c r="F622">
        <f>VLOOKUP(D622,CategoryMap,2,0)</f>
        <v/>
      </c>
      <c r="G622">
        <f>ABS(E622-F622)</f>
        <v/>
      </c>
      <c r="H622">
        <f>IF(G622=0,"Yes","No")</f>
        <v/>
      </c>
      <c r="I622" t="inlineStr">
        <is>
          <t>No</t>
        </is>
      </c>
      <c r="J622">
        <f>IF(I622="","",IF(AND(I622=C622,I622=D622),"Both",IF(I622=C622,"Opus",IF(I622=D622,"Sonnet","Neither"))))</f>
        <v/>
      </c>
    </row>
    <row r="623">
      <c r="A623" t="inlineStr">
        <is>
          <t>R190</t>
        </is>
      </c>
      <c r="B623" t="inlineStr">
        <is>
          <t>Q6</t>
        </is>
      </c>
      <c r="C623" t="inlineStr">
        <is>
          <t>No</t>
        </is>
      </c>
      <c r="D623" t="inlineStr">
        <is>
          <t>No</t>
        </is>
      </c>
      <c r="E623">
        <f>VLOOKUP(C623,CategoryMap,2,0)</f>
        <v/>
      </c>
      <c r="F623">
        <f>VLOOKUP(D623,CategoryMap,2,0)</f>
        <v/>
      </c>
      <c r="G623">
        <f>ABS(E623-F623)</f>
        <v/>
      </c>
      <c r="H623">
        <f>IF(G623=0,"Yes","No")</f>
        <v/>
      </c>
      <c r="I623" t="inlineStr">
        <is>
          <t>No</t>
        </is>
      </c>
      <c r="J623">
        <f>IF(I623="","",IF(AND(I623=C623,I623=D623),"Both",IF(I623=C623,"Opus",IF(I623=D623,"Sonnet","Neither"))))</f>
        <v/>
      </c>
    </row>
    <row r="624">
      <c r="A624" t="inlineStr">
        <is>
          <t>R190</t>
        </is>
      </c>
      <c r="B624" t="inlineStr">
        <is>
          <t>Q7</t>
        </is>
      </c>
      <c r="C624" t="inlineStr">
        <is>
          <t>No</t>
        </is>
      </c>
      <c r="D624" t="inlineStr">
        <is>
          <t>No</t>
        </is>
      </c>
      <c r="E624">
        <f>VLOOKUP(C624,CategoryMap,2,0)</f>
        <v/>
      </c>
      <c r="F624">
        <f>VLOOKUP(D624,CategoryMap,2,0)</f>
        <v/>
      </c>
      <c r="G624">
        <f>ABS(E624-F624)</f>
        <v/>
      </c>
      <c r="H624">
        <f>IF(G624=0,"Yes","No")</f>
        <v/>
      </c>
      <c r="I624" t="inlineStr">
        <is>
          <t>No</t>
        </is>
      </c>
      <c r="J624">
        <f>IF(I624="","",IF(AND(I624=C624,I624=D624),"Both",IF(I624=C624,"Opus",IF(I624=D624,"Sonnet","Neither"))))</f>
        <v/>
      </c>
    </row>
    <row r="625">
      <c r="A625" t="inlineStr">
        <is>
          <t>R190</t>
        </is>
      </c>
      <c r="B625" t="inlineStr">
        <is>
          <t>Q8</t>
        </is>
      </c>
      <c r="C625" t="inlineStr">
        <is>
          <t>Yes</t>
        </is>
      </c>
      <c r="D625" t="inlineStr">
        <is>
          <t>Partial</t>
        </is>
      </c>
      <c r="E625">
        <f>VLOOKUP(C625,CategoryMap,2,0)</f>
        <v/>
      </c>
      <c r="F625">
        <f>VLOOKUP(D625,CategoryMap,2,0)</f>
        <v/>
      </c>
      <c r="G625">
        <f>ABS(E625-F625)</f>
        <v/>
      </c>
      <c r="H625">
        <f>IF(G625=0,"Yes","No")</f>
        <v/>
      </c>
      <c r="I625" t="inlineStr">
        <is>
          <t>Partial</t>
        </is>
      </c>
      <c r="J625">
        <f>IF(I625="","",IF(AND(I625=C625,I625=D625),"Both",IF(I625=C625,"Opus",IF(I625=D625,"Sonnet","Neither"))))</f>
        <v/>
      </c>
    </row>
    <row r="626">
      <c r="A626" t="inlineStr">
        <is>
          <t>R192</t>
        </is>
      </c>
      <c r="B626" t="inlineStr">
        <is>
          <t>Q1</t>
        </is>
      </c>
      <c r="C626" t="inlineStr">
        <is>
          <t>Partial</t>
        </is>
      </c>
      <c r="D626" t="inlineStr">
        <is>
          <t>No</t>
        </is>
      </c>
      <c r="E626">
        <f>VLOOKUP(C626,CategoryMap,2,0)</f>
        <v/>
      </c>
      <c r="F626">
        <f>VLOOKUP(D626,CategoryMap,2,0)</f>
        <v/>
      </c>
      <c r="G626">
        <f>ABS(E626-F626)</f>
        <v/>
      </c>
      <c r="H626">
        <f>IF(G626=0,"Yes","No")</f>
        <v/>
      </c>
      <c r="I626" t="inlineStr">
        <is>
          <t>No</t>
        </is>
      </c>
      <c r="J626">
        <f>IF(I626="","",IF(AND(I626=C626,I626=D626),"Both",IF(I626=C626,"Opus",IF(I626=D626,"Sonnet","Neither"))))</f>
        <v/>
      </c>
    </row>
    <row r="627">
      <c r="A627" t="inlineStr">
        <is>
          <t>R192</t>
        </is>
      </c>
      <c r="B627" t="inlineStr">
        <is>
          <t>Q2</t>
        </is>
      </c>
      <c r="C627" t="inlineStr">
        <is>
          <t>Partial</t>
        </is>
      </c>
      <c r="D627" t="inlineStr">
        <is>
          <t>Partial</t>
        </is>
      </c>
      <c r="E627">
        <f>VLOOKUP(C627,CategoryMap,2,0)</f>
        <v/>
      </c>
      <c r="F627">
        <f>VLOOKUP(D627,CategoryMap,2,0)</f>
        <v/>
      </c>
      <c r="G627">
        <f>ABS(E627-F627)</f>
        <v/>
      </c>
      <c r="H627">
        <f>IF(G627=0,"Yes","No")</f>
        <v/>
      </c>
      <c r="I627" t="inlineStr">
        <is>
          <t>Partial</t>
        </is>
      </c>
      <c r="J627">
        <f>IF(I627="","",IF(AND(I627=C627,I627=D627),"Both",IF(I627=C627,"Opus",IF(I627=D627,"Sonnet","Neither"))))</f>
        <v/>
      </c>
    </row>
    <row r="628">
      <c r="A628" t="inlineStr">
        <is>
          <t>R192</t>
        </is>
      </c>
      <c r="B628" t="inlineStr">
        <is>
          <t>Q3</t>
        </is>
      </c>
      <c r="C628" t="inlineStr">
        <is>
          <t>Yes</t>
        </is>
      </c>
      <c r="D628" t="inlineStr">
        <is>
          <t>Partial</t>
        </is>
      </c>
      <c r="E628">
        <f>VLOOKUP(C628,CategoryMap,2,0)</f>
        <v/>
      </c>
      <c r="F628">
        <f>VLOOKUP(D628,CategoryMap,2,0)</f>
        <v/>
      </c>
      <c r="G628">
        <f>ABS(E628-F628)</f>
        <v/>
      </c>
      <c r="H628">
        <f>IF(G628=0,"Yes","No")</f>
        <v/>
      </c>
      <c r="I628" t="inlineStr">
        <is>
          <t>Partial</t>
        </is>
      </c>
      <c r="J628">
        <f>IF(I628="","",IF(AND(I628=C628,I628=D628),"Both",IF(I628=C628,"Opus",IF(I628=D628,"Sonnet","Neither"))))</f>
        <v/>
      </c>
    </row>
    <row r="629">
      <c r="A629" t="inlineStr">
        <is>
          <t>R192</t>
        </is>
      </c>
      <c r="B629" t="inlineStr">
        <is>
          <t>Q4</t>
        </is>
      </c>
      <c r="C629" t="inlineStr">
        <is>
          <t>Partial</t>
        </is>
      </c>
      <c r="D629" t="inlineStr">
        <is>
          <t>Yes</t>
        </is>
      </c>
      <c r="E629">
        <f>VLOOKUP(C629,CategoryMap,2,0)</f>
        <v/>
      </c>
      <c r="F629">
        <f>VLOOKUP(D629,CategoryMap,2,0)</f>
        <v/>
      </c>
      <c r="G629">
        <f>ABS(E629-F629)</f>
        <v/>
      </c>
      <c r="H629">
        <f>IF(G629=0,"Yes","No")</f>
        <v/>
      </c>
      <c r="I629" t="inlineStr">
        <is>
          <t>Partial</t>
        </is>
      </c>
      <c r="J629">
        <f>IF(I629="","",IF(AND(I629=C629,I629=D629),"Both",IF(I629=C629,"Opus",IF(I629=D629,"Sonnet","Neither"))))</f>
        <v/>
      </c>
    </row>
    <row r="630">
      <c r="A630" t="inlineStr">
        <is>
          <t>R192</t>
        </is>
      </c>
      <c r="B630" t="inlineStr">
        <is>
          <t>Q5</t>
        </is>
      </c>
      <c r="C630" t="inlineStr">
        <is>
          <t>Yes</t>
        </is>
      </c>
      <c r="D630" t="inlineStr">
        <is>
          <t>Yes</t>
        </is>
      </c>
      <c r="E630">
        <f>VLOOKUP(C630,CategoryMap,2,0)</f>
        <v/>
      </c>
      <c r="F630">
        <f>VLOOKUP(D630,CategoryMap,2,0)</f>
        <v/>
      </c>
      <c r="G630">
        <f>ABS(E630-F630)</f>
        <v/>
      </c>
      <c r="H630">
        <f>IF(G630=0,"Yes","No")</f>
        <v/>
      </c>
      <c r="I630" t="inlineStr">
        <is>
          <t>Yes</t>
        </is>
      </c>
      <c r="J630">
        <f>IF(I630="","",IF(AND(I630=C630,I630=D630),"Both",IF(I630=C630,"Opus",IF(I630=D630,"Sonnet","Neither"))))</f>
        <v/>
      </c>
    </row>
    <row r="631">
      <c r="A631" t="inlineStr">
        <is>
          <t>R192</t>
        </is>
      </c>
      <c r="B631" t="inlineStr">
        <is>
          <t>Q6</t>
        </is>
      </c>
      <c r="C631" t="inlineStr">
        <is>
          <t>Yes</t>
        </is>
      </c>
      <c r="D631" t="inlineStr">
        <is>
          <t>Yes</t>
        </is>
      </c>
      <c r="E631">
        <f>VLOOKUP(C631,CategoryMap,2,0)</f>
        <v/>
      </c>
      <c r="F631">
        <f>VLOOKUP(D631,CategoryMap,2,0)</f>
        <v/>
      </c>
      <c r="G631">
        <f>ABS(E631-F631)</f>
        <v/>
      </c>
      <c r="H631">
        <f>IF(G631=0,"Yes","No")</f>
        <v/>
      </c>
      <c r="I631" t="inlineStr">
        <is>
          <t>Yes</t>
        </is>
      </c>
      <c r="J631">
        <f>IF(I631="","",IF(AND(I631=C631,I631=D631),"Both",IF(I631=C631,"Opus",IF(I631=D631,"Sonnet","Neither"))))</f>
        <v/>
      </c>
    </row>
    <row r="632">
      <c r="A632" t="inlineStr">
        <is>
          <t>R192</t>
        </is>
      </c>
      <c r="B632" t="inlineStr">
        <is>
          <t>Q7</t>
        </is>
      </c>
      <c r="C632" t="inlineStr">
        <is>
          <t>Yes</t>
        </is>
      </c>
      <c r="D632" t="inlineStr">
        <is>
          <t>Yes</t>
        </is>
      </c>
      <c r="E632">
        <f>VLOOKUP(C632,CategoryMap,2,0)</f>
        <v/>
      </c>
      <c r="F632">
        <f>VLOOKUP(D632,CategoryMap,2,0)</f>
        <v/>
      </c>
      <c r="G632">
        <f>ABS(E632-F632)</f>
        <v/>
      </c>
      <c r="H632">
        <f>IF(G632=0,"Yes","No")</f>
        <v/>
      </c>
      <c r="I632" t="inlineStr">
        <is>
          <t>Yes</t>
        </is>
      </c>
      <c r="J632">
        <f>IF(I632="","",IF(AND(I632=C632,I632=D632),"Both",IF(I632=C632,"Opus",IF(I632=D632,"Sonnet","Neither"))))</f>
        <v/>
      </c>
    </row>
    <row r="633">
      <c r="A633" t="inlineStr">
        <is>
          <t>R192</t>
        </is>
      </c>
      <c r="B633" t="inlineStr">
        <is>
          <t>Q8</t>
        </is>
      </c>
      <c r="C633" t="inlineStr">
        <is>
          <t>Partial</t>
        </is>
      </c>
      <c r="D633" t="inlineStr">
        <is>
          <t>No</t>
        </is>
      </c>
      <c r="E633">
        <f>VLOOKUP(C633,CategoryMap,2,0)</f>
        <v/>
      </c>
      <c r="F633">
        <f>VLOOKUP(D633,CategoryMap,2,0)</f>
        <v/>
      </c>
      <c r="G633">
        <f>ABS(E633-F633)</f>
        <v/>
      </c>
      <c r="H633">
        <f>IF(G633=0,"Yes","No")</f>
        <v/>
      </c>
      <c r="I633" t="inlineStr">
        <is>
          <t>No</t>
        </is>
      </c>
      <c r="J633">
        <f>IF(I633="","",IF(AND(I633=C633,I633=D633),"Both",IF(I633=C633,"Opus",IF(I633=D633,"Sonnet","Neither"))))</f>
        <v/>
      </c>
    </row>
    <row r="634">
      <c r="A634" t="inlineStr">
        <is>
          <t>R193</t>
        </is>
      </c>
      <c r="B634" t="inlineStr">
        <is>
          <t>Q1</t>
        </is>
      </c>
      <c r="C634" t="inlineStr">
        <is>
          <t>Partial</t>
        </is>
      </c>
      <c r="D634" t="inlineStr">
        <is>
          <t>Partial</t>
        </is>
      </c>
      <c r="E634">
        <f>VLOOKUP(C634,CategoryMap,2,0)</f>
        <v/>
      </c>
      <c r="F634">
        <f>VLOOKUP(D634,CategoryMap,2,0)</f>
        <v/>
      </c>
      <c r="G634">
        <f>ABS(E634-F634)</f>
        <v/>
      </c>
      <c r="H634">
        <f>IF(G634=0,"Yes","No")</f>
        <v/>
      </c>
      <c r="I634" t="inlineStr">
        <is>
          <t>Partial</t>
        </is>
      </c>
      <c r="J634">
        <f>IF(I634="","",IF(AND(I634=C634,I634=D634),"Both",IF(I634=C634,"Opus",IF(I634=D634,"Sonnet","Neither"))))</f>
        <v/>
      </c>
    </row>
    <row r="635">
      <c r="A635" t="inlineStr">
        <is>
          <t>R193</t>
        </is>
      </c>
      <c r="B635" t="inlineStr">
        <is>
          <t>Q2</t>
        </is>
      </c>
      <c r="C635" t="inlineStr">
        <is>
          <t>Partial</t>
        </is>
      </c>
      <c r="D635" t="inlineStr">
        <is>
          <t>Partial</t>
        </is>
      </c>
      <c r="E635">
        <f>VLOOKUP(C635,CategoryMap,2,0)</f>
        <v/>
      </c>
      <c r="F635">
        <f>VLOOKUP(D635,CategoryMap,2,0)</f>
        <v/>
      </c>
      <c r="G635">
        <f>ABS(E635-F635)</f>
        <v/>
      </c>
      <c r="H635">
        <f>IF(G635=0,"Yes","No")</f>
        <v/>
      </c>
      <c r="I635" t="inlineStr">
        <is>
          <t>Partial</t>
        </is>
      </c>
      <c r="J635">
        <f>IF(I635="","",IF(AND(I635=C635,I635=D635),"Both",IF(I635=C635,"Opus",IF(I635=D635,"Sonnet","Neither"))))</f>
        <v/>
      </c>
    </row>
    <row r="636">
      <c r="A636" t="inlineStr">
        <is>
          <t>R193</t>
        </is>
      </c>
      <c r="B636" t="inlineStr">
        <is>
          <t>Q3</t>
        </is>
      </c>
      <c r="C636" t="inlineStr">
        <is>
          <t>Yes</t>
        </is>
      </c>
      <c r="D636" t="inlineStr">
        <is>
          <t>Partial</t>
        </is>
      </c>
      <c r="E636">
        <f>VLOOKUP(C636,CategoryMap,2,0)</f>
        <v/>
      </c>
      <c r="F636">
        <f>VLOOKUP(D636,CategoryMap,2,0)</f>
        <v/>
      </c>
      <c r="G636">
        <f>ABS(E636-F636)</f>
        <v/>
      </c>
      <c r="H636">
        <f>IF(G636=0,"Yes","No")</f>
        <v/>
      </c>
      <c r="I636" t="inlineStr">
        <is>
          <t>Partial</t>
        </is>
      </c>
      <c r="J636">
        <f>IF(I636="","",IF(AND(I636=C636,I636=D636),"Both",IF(I636=C636,"Opus",IF(I636=D636,"Sonnet","Neither"))))</f>
        <v/>
      </c>
    </row>
    <row r="637">
      <c r="A637" t="inlineStr">
        <is>
          <t>R193</t>
        </is>
      </c>
      <c r="B637" t="inlineStr">
        <is>
          <t>Q4</t>
        </is>
      </c>
      <c r="C637" t="inlineStr">
        <is>
          <t>Partial</t>
        </is>
      </c>
      <c r="D637" t="inlineStr">
        <is>
          <t>Partial</t>
        </is>
      </c>
      <c r="E637">
        <f>VLOOKUP(C637,CategoryMap,2,0)</f>
        <v/>
      </c>
      <c r="F637">
        <f>VLOOKUP(D637,CategoryMap,2,0)</f>
        <v/>
      </c>
      <c r="G637">
        <f>ABS(E637-F637)</f>
        <v/>
      </c>
      <c r="H637">
        <f>IF(G637=0,"Yes","No")</f>
        <v/>
      </c>
      <c r="I637" t="inlineStr">
        <is>
          <t>Partial</t>
        </is>
      </c>
      <c r="J637">
        <f>IF(I637="","",IF(AND(I637=C637,I637=D637),"Both",IF(I637=C637,"Opus",IF(I637=D637,"Sonnet","Neither"))))</f>
        <v/>
      </c>
    </row>
    <row r="638">
      <c r="A638" t="inlineStr">
        <is>
          <t>R193</t>
        </is>
      </c>
      <c r="B638" t="inlineStr">
        <is>
          <t>Q5</t>
        </is>
      </c>
      <c r="C638" t="inlineStr">
        <is>
          <t>Partial</t>
        </is>
      </c>
      <c r="D638" t="inlineStr">
        <is>
          <t>Partial</t>
        </is>
      </c>
      <c r="E638">
        <f>VLOOKUP(C638,CategoryMap,2,0)</f>
        <v/>
      </c>
      <c r="F638">
        <f>VLOOKUP(D638,CategoryMap,2,0)</f>
        <v/>
      </c>
      <c r="G638">
        <f>ABS(E638-F638)</f>
        <v/>
      </c>
      <c r="H638">
        <f>IF(G638=0,"Yes","No")</f>
        <v/>
      </c>
      <c r="I638" t="inlineStr">
        <is>
          <t>Partial</t>
        </is>
      </c>
      <c r="J638">
        <f>IF(I638="","",IF(AND(I638=C638,I638=D638),"Both",IF(I638=C638,"Opus",IF(I638=D638,"Sonnet","Neither"))))</f>
        <v/>
      </c>
    </row>
    <row r="639">
      <c r="A639" t="inlineStr">
        <is>
          <t>R193</t>
        </is>
      </c>
      <c r="B639" t="inlineStr">
        <is>
          <t>Q6</t>
        </is>
      </c>
      <c r="C639" t="inlineStr">
        <is>
          <t>Partial</t>
        </is>
      </c>
      <c r="D639" t="inlineStr">
        <is>
          <t>Partial</t>
        </is>
      </c>
      <c r="E639">
        <f>VLOOKUP(C639,CategoryMap,2,0)</f>
        <v/>
      </c>
      <c r="F639">
        <f>VLOOKUP(D639,CategoryMap,2,0)</f>
        <v/>
      </c>
      <c r="G639">
        <f>ABS(E639-F639)</f>
        <v/>
      </c>
      <c r="H639">
        <f>IF(G639=0,"Yes","No")</f>
        <v/>
      </c>
      <c r="I639" t="inlineStr">
        <is>
          <t>Partial</t>
        </is>
      </c>
      <c r="J639">
        <f>IF(I639="","",IF(AND(I639=C639,I639=D639),"Both",IF(I639=C639,"Opus",IF(I639=D639,"Sonnet","Neither"))))</f>
        <v/>
      </c>
    </row>
    <row r="640">
      <c r="A640" t="inlineStr">
        <is>
          <t>R193</t>
        </is>
      </c>
      <c r="B640" t="inlineStr">
        <is>
          <t>Q7</t>
        </is>
      </c>
      <c r="C640" t="inlineStr">
        <is>
          <t>Partial</t>
        </is>
      </c>
      <c r="D640" t="inlineStr">
        <is>
          <t>Yes</t>
        </is>
      </c>
      <c r="E640">
        <f>VLOOKUP(C640,CategoryMap,2,0)</f>
        <v/>
      </c>
      <c r="F640">
        <f>VLOOKUP(D640,CategoryMap,2,0)</f>
        <v/>
      </c>
      <c r="G640">
        <f>ABS(E640-F640)</f>
        <v/>
      </c>
      <c r="H640">
        <f>IF(G640=0,"Yes","No")</f>
        <v/>
      </c>
      <c r="I640" t="inlineStr">
        <is>
          <t>Partial</t>
        </is>
      </c>
      <c r="J640">
        <f>IF(I640="","",IF(AND(I640=C640,I640=D640),"Both",IF(I640=C640,"Opus",IF(I640=D640,"Sonnet","Neither"))))</f>
        <v/>
      </c>
    </row>
    <row r="641">
      <c r="A641" t="inlineStr">
        <is>
          <t>R193</t>
        </is>
      </c>
      <c r="B641" t="inlineStr">
        <is>
          <t>Q8</t>
        </is>
      </c>
      <c r="C641" t="inlineStr">
        <is>
          <t>Partial</t>
        </is>
      </c>
      <c r="D641" t="inlineStr">
        <is>
          <t>Partial</t>
        </is>
      </c>
      <c r="E641">
        <f>VLOOKUP(C641,CategoryMap,2,0)</f>
        <v/>
      </c>
      <c r="F641">
        <f>VLOOKUP(D641,CategoryMap,2,0)</f>
        <v/>
      </c>
      <c r="G641">
        <f>ABS(E641-F641)</f>
        <v/>
      </c>
      <c r="H641">
        <f>IF(G641=0,"Yes","No")</f>
        <v/>
      </c>
      <c r="I641" t="inlineStr">
        <is>
          <t>Partial</t>
        </is>
      </c>
      <c r="J641">
        <f>IF(I641="","",IF(AND(I641=C641,I641=D641),"Both",IF(I641=C641,"Opus",IF(I641=D641,"Sonnet","Neither"))))</f>
        <v/>
      </c>
    </row>
    <row r="642">
      <c r="A642" t="inlineStr">
        <is>
          <t>R195</t>
        </is>
      </c>
      <c r="B642" t="inlineStr">
        <is>
          <t>Q1</t>
        </is>
      </c>
      <c r="C642" t="inlineStr">
        <is>
          <t>Partial</t>
        </is>
      </c>
      <c r="D642" t="inlineStr">
        <is>
          <t>Partial</t>
        </is>
      </c>
      <c r="E642">
        <f>VLOOKUP(C642,CategoryMap,2,0)</f>
        <v/>
      </c>
      <c r="F642">
        <f>VLOOKUP(D642,CategoryMap,2,0)</f>
        <v/>
      </c>
      <c r="G642">
        <f>ABS(E642-F642)</f>
        <v/>
      </c>
      <c r="H642">
        <f>IF(G642=0,"Yes","No")</f>
        <v/>
      </c>
      <c r="I642" t="inlineStr">
        <is>
          <t>Partial</t>
        </is>
      </c>
      <c r="J642">
        <f>IF(I642="","",IF(AND(I642=C642,I642=D642),"Both",IF(I642=C642,"Opus",IF(I642=D642,"Sonnet","Neither"))))</f>
        <v/>
      </c>
    </row>
    <row r="643">
      <c r="A643" t="inlineStr">
        <is>
          <t>R195</t>
        </is>
      </c>
      <c r="B643" t="inlineStr">
        <is>
          <t>Q2</t>
        </is>
      </c>
      <c r="C643" t="inlineStr">
        <is>
          <t>Partial</t>
        </is>
      </c>
      <c r="D643" t="inlineStr">
        <is>
          <t>Partial</t>
        </is>
      </c>
      <c r="E643">
        <f>VLOOKUP(C643,CategoryMap,2,0)</f>
        <v/>
      </c>
      <c r="F643">
        <f>VLOOKUP(D643,CategoryMap,2,0)</f>
        <v/>
      </c>
      <c r="G643">
        <f>ABS(E643-F643)</f>
        <v/>
      </c>
      <c r="H643">
        <f>IF(G643=0,"Yes","No")</f>
        <v/>
      </c>
      <c r="I643" t="inlineStr">
        <is>
          <t>Partial</t>
        </is>
      </c>
      <c r="J643">
        <f>IF(I643="","",IF(AND(I643=C643,I643=D643),"Both",IF(I643=C643,"Opus",IF(I643=D643,"Sonnet","Neither"))))</f>
        <v/>
      </c>
    </row>
    <row r="644">
      <c r="A644" t="inlineStr">
        <is>
          <t>R195</t>
        </is>
      </c>
      <c r="B644" t="inlineStr">
        <is>
          <t>Q3</t>
        </is>
      </c>
      <c r="C644" t="inlineStr">
        <is>
          <t>Yes</t>
        </is>
      </c>
      <c r="D644" t="inlineStr">
        <is>
          <t>Partial</t>
        </is>
      </c>
      <c r="E644">
        <f>VLOOKUP(C644,CategoryMap,2,0)</f>
        <v/>
      </c>
      <c r="F644">
        <f>VLOOKUP(D644,CategoryMap,2,0)</f>
        <v/>
      </c>
      <c r="G644">
        <f>ABS(E644-F644)</f>
        <v/>
      </c>
      <c r="H644">
        <f>IF(G644=0,"Yes","No")</f>
        <v/>
      </c>
      <c r="I644" t="inlineStr">
        <is>
          <t>Yes</t>
        </is>
      </c>
      <c r="J644">
        <f>IF(I644="","",IF(AND(I644=C644,I644=D644),"Both",IF(I644=C644,"Opus",IF(I644=D644,"Sonnet","Neither"))))</f>
        <v/>
      </c>
    </row>
    <row r="645">
      <c r="A645" t="inlineStr">
        <is>
          <t>R195</t>
        </is>
      </c>
      <c r="B645" t="inlineStr">
        <is>
          <t>Q4</t>
        </is>
      </c>
      <c r="C645" t="inlineStr">
        <is>
          <t>No</t>
        </is>
      </c>
      <c r="D645" t="inlineStr">
        <is>
          <t>No</t>
        </is>
      </c>
      <c r="E645">
        <f>VLOOKUP(C645,CategoryMap,2,0)</f>
        <v/>
      </c>
      <c r="F645">
        <f>VLOOKUP(D645,CategoryMap,2,0)</f>
        <v/>
      </c>
      <c r="G645">
        <f>ABS(E645-F645)</f>
        <v/>
      </c>
      <c r="H645">
        <f>IF(G645=0,"Yes","No")</f>
        <v/>
      </c>
      <c r="I645" t="inlineStr">
        <is>
          <t>No</t>
        </is>
      </c>
      <c r="J645">
        <f>IF(I645="","",IF(AND(I645=C645,I645=D645),"Both",IF(I645=C645,"Opus",IF(I645=D645,"Sonnet","Neither"))))</f>
        <v/>
      </c>
    </row>
    <row r="646">
      <c r="A646" t="inlineStr">
        <is>
          <t>R195</t>
        </is>
      </c>
      <c r="B646" t="inlineStr">
        <is>
          <t>Q5</t>
        </is>
      </c>
      <c r="C646" t="inlineStr">
        <is>
          <t>No</t>
        </is>
      </c>
      <c r="D646" t="inlineStr">
        <is>
          <t>No</t>
        </is>
      </c>
      <c r="E646">
        <f>VLOOKUP(C646,CategoryMap,2,0)</f>
        <v/>
      </c>
      <c r="F646">
        <f>VLOOKUP(D646,CategoryMap,2,0)</f>
        <v/>
      </c>
      <c r="G646">
        <f>ABS(E646-F646)</f>
        <v/>
      </c>
      <c r="H646">
        <f>IF(G646=0,"Yes","No")</f>
        <v/>
      </c>
      <c r="I646" t="inlineStr">
        <is>
          <t>No</t>
        </is>
      </c>
      <c r="J646">
        <f>IF(I646="","",IF(AND(I646=C646,I646=D646),"Both",IF(I646=C646,"Opus",IF(I646=D646,"Sonnet","Neither"))))</f>
        <v/>
      </c>
    </row>
    <row r="647">
      <c r="A647" t="inlineStr">
        <is>
          <t>R195</t>
        </is>
      </c>
      <c r="B647" t="inlineStr">
        <is>
          <t>Q6</t>
        </is>
      </c>
      <c r="C647" t="inlineStr">
        <is>
          <t>Partial</t>
        </is>
      </c>
      <c r="D647" t="inlineStr">
        <is>
          <t>No</t>
        </is>
      </c>
      <c r="E647">
        <f>VLOOKUP(C647,CategoryMap,2,0)</f>
        <v/>
      </c>
      <c r="F647">
        <f>VLOOKUP(D647,CategoryMap,2,0)</f>
        <v/>
      </c>
      <c r="G647">
        <f>ABS(E647-F647)</f>
        <v/>
      </c>
      <c r="H647">
        <f>IF(G647=0,"Yes","No")</f>
        <v/>
      </c>
      <c r="I647" t="inlineStr">
        <is>
          <t>Partial</t>
        </is>
      </c>
      <c r="J647">
        <f>IF(I647="","",IF(AND(I647=C647,I647=D647),"Both",IF(I647=C647,"Opus",IF(I647=D647,"Sonnet","Neither"))))</f>
        <v/>
      </c>
    </row>
    <row r="648">
      <c r="A648" t="inlineStr">
        <is>
          <t>R195</t>
        </is>
      </c>
      <c r="B648" t="inlineStr">
        <is>
          <t>Q7</t>
        </is>
      </c>
      <c r="C648" t="inlineStr">
        <is>
          <t>No</t>
        </is>
      </c>
      <c r="D648" t="inlineStr">
        <is>
          <t>No</t>
        </is>
      </c>
      <c r="E648">
        <f>VLOOKUP(C648,CategoryMap,2,0)</f>
        <v/>
      </c>
      <c r="F648">
        <f>VLOOKUP(D648,CategoryMap,2,0)</f>
        <v/>
      </c>
      <c r="G648">
        <f>ABS(E648-F648)</f>
        <v/>
      </c>
      <c r="H648">
        <f>IF(G648=0,"Yes","No")</f>
        <v/>
      </c>
      <c r="I648" t="inlineStr">
        <is>
          <t>No</t>
        </is>
      </c>
      <c r="J648">
        <f>IF(I648="","",IF(AND(I648=C648,I648=D648),"Both",IF(I648=C648,"Opus",IF(I648=D648,"Sonnet","Neither"))))</f>
        <v/>
      </c>
    </row>
    <row r="649">
      <c r="A649" t="inlineStr">
        <is>
          <t>R195</t>
        </is>
      </c>
      <c r="B649" t="inlineStr">
        <is>
          <t>Q8</t>
        </is>
      </c>
      <c r="C649" t="inlineStr">
        <is>
          <t>Partial</t>
        </is>
      </c>
      <c r="D649" t="inlineStr">
        <is>
          <t>Partial</t>
        </is>
      </c>
      <c r="E649">
        <f>VLOOKUP(C649,CategoryMap,2,0)</f>
        <v/>
      </c>
      <c r="F649">
        <f>VLOOKUP(D649,CategoryMap,2,0)</f>
        <v/>
      </c>
      <c r="G649">
        <f>ABS(E649-F649)</f>
        <v/>
      </c>
      <c r="H649">
        <f>IF(G649=0,"Yes","No")</f>
        <v/>
      </c>
      <c r="I649" t="inlineStr">
        <is>
          <t>Partial</t>
        </is>
      </c>
      <c r="J649">
        <f>IF(I649="","",IF(AND(I649=C649,I649=D649),"Both",IF(I649=C649,"Opus",IF(I649=D649,"Sonnet","Neither"))))</f>
        <v/>
      </c>
    </row>
    <row r="650">
      <c r="A650" t="inlineStr">
        <is>
          <t>R199</t>
        </is>
      </c>
      <c r="B650" t="inlineStr">
        <is>
          <t>Q1</t>
        </is>
      </c>
      <c r="C650" t="inlineStr">
        <is>
          <t>Yes</t>
        </is>
      </c>
      <c r="D650" t="inlineStr">
        <is>
          <t>Partial</t>
        </is>
      </c>
      <c r="E650">
        <f>VLOOKUP(C650,CategoryMap,2,0)</f>
        <v/>
      </c>
      <c r="F650">
        <f>VLOOKUP(D650,CategoryMap,2,0)</f>
        <v/>
      </c>
      <c r="G650">
        <f>ABS(E650-F650)</f>
        <v/>
      </c>
      <c r="H650">
        <f>IF(G650=0,"Yes","No")</f>
        <v/>
      </c>
      <c r="I650" t="inlineStr">
        <is>
          <t>Partial</t>
        </is>
      </c>
      <c r="J650">
        <f>IF(I650="","",IF(AND(I650=C650,I650=D650),"Both",IF(I650=C650,"Opus",IF(I650=D650,"Sonnet","Neither"))))</f>
        <v/>
      </c>
    </row>
    <row r="651">
      <c r="A651" t="inlineStr">
        <is>
          <t>R199</t>
        </is>
      </c>
      <c r="B651" t="inlineStr">
        <is>
          <t>Q2</t>
        </is>
      </c>
      <c r="C651" t="inlineStr">
        <is>
          <t>Yes</t>
        </is>
      </c>
      <c r="D651" t="inlineStr">
        <is>
          <t>Partial</t>
        </is>
      </c>
      <c r="E651">
        <f>VLOOKUP(C651,CategoryMap,2,0)</f>
        <v/>
      </c>
      <c r="F651">
        <f>VLOOKUP(D651,CategoryMap,2,0)</f>
        <v/>
      </c>
      <c r="G651">
        <f>ABS(E651-F651)</f>
        <v/>
      </c>
      <c r="H651">
        <f>IF(G651=0,"Yes","No")</f>
        <v/>
      </c>
      <c r="I651" t="inlineStr">
        <is>
          <t>Partial</t>
        </is>
      </c>
      <c r="J651">
        <f>IF(I651="","",IF(AND(I651=C651,I651=D651),"Both",IF(I651=C651,"Opus",IF(I651=D651,"Sonnet","Neither"))))</f>
        <v/>
      </c>
    </row>
    <row r="652">
      <c r="A652" t="inlineStr">
        <is>
          <t>R199</t>
        </is>
      </c>
      <c r="B652" t="inlineStr">
        <is>
          <t>Q3</t>
        </is>
      </c>
      <c r="C652" t="inlineStr">
        <is>
          <t>Yes</t>
        </is>
      </c>
      <c r="D652" t="inlineStr">
        <is>
          <t>Partial</t>
        </is>
      </c>
      <c r="E652">
        <f>VLOOKUP(C652,CategoryMap,2,0)</f>
        <v/>
      </c>
      <c r="F652">
        <f>VLOOKUP(D652,CategoryMap,2,0)</f>
        <v/>
      </c>
      <c r="G652">
        <f>ABS(E652-F652)</f>
        <v/>
      </c>
      <c r="H652">
        <f>IF(G652=0,"Yes","No")</f>
        <v/>
      </c>
      <c r="I652" t="inlineStr">
        <is>
          <t>Partial</t>
        </is>
      </c>
      <c r="J652">
        <f>IF(I652="","",IF(AND(I652=C652,I652=D652),"Both",IF(I652=C652,"Opus",IF(I652=D652,"Sonnet","Neither"))))</f>
        <v/>
      </c>
    </row>
    <row r="653">
      <c r="A653" t="inlineStr">
        <is>
          <t>R199</t>
        </is>
      </c>
      <c r="B653" t="inlineStr">
        <is>
          <t>Q4</t>
        </is>
      </c>
      <c r="C653" t="inlineStr">
        <is>
          <t>Partial</t>
        </is>
      </c>
      <c r="D653" t="inlineStr">
        <is>
          <t>Yes</t>
        </is>
      </c>
      <c r="E653">
        <f>VLOOKUP(C653,CategoryMap,2,0)</f>
        <v/>
      </c>
      <c r="F653">
        <f>VLOOKUP(D653,CategoryMap,2,0)</f>
        <v/>
      </c>
      <c r="G653">
        <f>ABS(E653-F653)</f>
        <v/>
      </c>
      <c r="H653">
        <f>IF(G653=0,"Yes","No")</f>
        <v/>
      </c>
      <c r="I653" t="inlineStr">
        <is>
          <t>Yes</t>
        </is>
      </c>
      <c r="J653">
        <f>IF(I653="","",IF(AND(I653=C653,I653=D653),"Both",IF(I653=C653,"Opus",IF(I653=D653,"Sonnet","Neither"))))</f>
        <v/>
      </c>
    </row>
    <row r="654">
      <c r="A654" t="inlineStr">
        <is>
          <t>R199</t>
        </is>
      </c>
      <c r="B654" t="inlineStr">
        <is>
          <t>Q5</t>
        </is>
      </c>
      <c r="C654" t="inlineStr">
        <is>
          <t>Partial</t>
        </is>
      </c>
      <c r="D654" t="inlineStr">
        <is>
          <t>Partial</t>
        </is>
      </c>
      <c r="E654">
        <f>VLOOKUP(C654,CategoryMap,2,0)</f>
        <v/>
      </c>
      <c r="F654">
        <f>VLOOKUP(D654,CategoryMap,2,0)</f>
        <v/>
      </c>
      <c r="G654">
        <f>ABS(E654-F654)</f>
        <v/>
      </c>
      <c r="H654">
        <f>IF(G654=0,"Yes","No")</f>
        <v/>
      </c>
      <c r="I654" t="inlineStr">
        <is>
          <t>Partial</t>
        </is>
      </c>
      <c r="J654">
        <f>IF(I654="","",IF(AND(I654=C654,I654=D654),"Both",IF(I654=C654,"Opus",IF(I654=D654,"Sonnet","Neither"))))</f>
        <v/>
      </c>
    </row>
    <row r="655">
      <c r="A655" t="inlineStr">
        <is>
          <t>R199</t>
        </is>
      </c>
      <c r="B655" t="inlineStr">
        <is>
          <t>Q6</t>
        </is>
      </c>
      <c r="C655" t="inlineStr">
        <is>
          <t>Partial</t>
        </is>
      </c>
      <c r="D655" t="inlineStr">
        <is>
          <t>Yes</t>
        </is>
      </c>
      <c r="E655">
        <f>VLOOKUP(C655,CategoryMap,2,0)</f>
        <v/>
      </c>
      <c r="F655">
        <f>VLOOKUP(D655,CategoryMap,2,0)</f>
        <v/>
      </c>
      <c r="G655">
        <f>ABS(E655-F655)</f>
        <v/>
      </c>
      <c r="H655">
        <f>IF(G655=0,"Yes","No")</f>
        <v/>
      </c>
      <c r="I655" t="inlineStr">
        <is>
          <t>Partial</t>
        </is>
      </c>
      <c r="J655">
        <f>IF(I655="","",IF(AND(I655=C655,I655=D655),"Both",IF(I655=C655,"Opus",IF(I655=D655,"Sonnet","Neither"))))</f>
        <v/>
      </c>
    </row>
    <row r="656">
      <c r="A656" t="inlineStr">
        <is>
          <t>R199</t>
        </is>
      </c>
      <c r="B656" t="inlineStr">
        <is>
          <t>Q7</t>
        </is>
      </c>
      <c r="C656" t="inlineStr">
        <is>
          <t>Yes</t>
        </is>
      </c>
      <c r="D656" t="inlineStr">
        <is>
          <t>Yes</t>
        </is>
      </c>
      <c r="E656">
        <f>VLOOKUP(C656,CategoryMap,2,0)</f>
        <v/>
      </c>
      <c r="F656">
        <f>VLOOKUP(D656,CategoryMap,2,0)</f>
        <v/>
      </c>
      <c r="G656">
        <f>ABS(E656-F656)</f>
        <v/>
      </c>
      <c r="H656">
        <f>IF(G656=0,"Yes","No")</f>
        <v/>
      </c>
      <c r="I656" t="inlineStr">
        <is>
          <t>Yes</t>
        </is>
      </c>
      <c r="J656">
        <f>IF(I656="","",IF(AND(I656=C656,I656=D656),"Both",IF(I656=C656,"Opus",IF(I656=D656,"Sonnet","Neither"))))</f>
        <v/>
      </c>
    </row>
    <row r="657">
      <c r="A657" t="inlineStr">
        <is>
          <t>R199</t>
        </is>
      </c>
      <c r="B657" t="inlineStr">
        <is>
          <t>Q8</t>
        </is>
      </c>
      <c r="C657" t="inlineStr">
        <is>
          <t>Partial</t>
        </is>
      </c>
      <c r="D657" t="inlineStr">
        <is>
          <t>No</t>
        </is>
      </c>
      <c r="E657">
        <f>VLOOKUP(C657,CategoryMap,2,0)</f>
        <v/>
      </c>
      <c r="F657">
        <f>VLOOKUP(D657,CategoryMap,2,0)</f>
        <v/>
      </c>
      <c r="G657">
        <f>ABS(E657-F657)</f>
        <v/>
      </c>
      <c r="H657">
        <f>IF(G657=0,"Yes","No")</f>
        <v/>
      </c>
      <c r="I657" t="inlineStr">
        <is>
          <t>No</t>
        </is>
      </c>
      <c r="J657">
        <f>IF(I657="","",IF(AND(I657=C657,I657=D657),"Both",IF(I657=C657,"Opus",IF(I657=D657,"Sonnet","Neither"))))</f>
        <v/>
      </c>
    </row>
    <row r="658">
      <c r="A658" t="inlineStr">
        <is>
          <t>R200</t>
        </is>
      </c>
      <c r="B658" t="inlineStr">
        <is>
          <t>Q1</t>
        </is>
      </c>
      <c r="C658" t="inlineStr">
        <is>
          <t>Yes</t>
        </is>
      </c>
      <c r="D658" t="inlineStr">
        <is>
          <t>Partial</t>
        </is>
      </c>
      <c r="E658">
        <f>VLOOKUP(C658,CategoryMap,2,0)</f>
        <v/>
      </c>
      <c r="F658">
        <f>VLOOKUP(D658,CategoryMap,2,0)</f>
        <v/>
      </c>
      <c r="G658">
        <f>ABS(E658-F658)</f>
        <v/>
      </c>
      <c r="H658">
        <f>IF(G658=0,"Yes","No")</f>
        <v/>
      </c>
      <c r="I658" t="inlineStr">
        <is>
          <t>Partial</t>
        </is>
      </c>
      <c r="J658">
        <f>IF(I658="","",IF(AND(I658=C658,I658=D658),"Both",IF(I658=C658,"Opus",IF(I658=D658,"Sonnet","Neither"))))</f>
        <v/>
      </c>
    </row>
    <row r="659">
      <c r="A659" t="inlineStr">
        <is>
          <t>R200</t>
        </is>
      </c>
      <c r="B659" t="inlineStr">
        <is>
          <t>Q2</t>
        </is>
      </c>
      <c r="C659" t="inlineStr">
        <is>
          <t>Yes</t>
        </is>
      </c>
      <c r="D659" t="inlineStr">
        <is>
          <t>Partial</t>
        </is>
      </c>
      <c r="E659">
        <f>VLOOKUP(C659,CategoryMap,2,0)</f>
        <v/>
      </c>
      <c r="F659">
        <f>VLOOKUP(D659,CategoryMap,2,0)</f>
        <v/>
      </c>
      <c r="G659">
        <f>ABS(E659-F659)</f>
        <v/>
      </c>
      <c r="H659">
        <f>IF(G659=0,"Yes","No")</f>
        <v/>
      </c>
      <c r="I659" t="inlineStr">
        <is>
          <t>Yes</t>
        </is>
      </c>
      <c r="J659">
        <f>IF(I659="","",IF(AND(I659=C659,I659=D659),"Both",IF(I659=C659,"Opus",IF(I659=D659,"Sonnet","Neither"))))</f>
        <v/>
      </c>
    </row>
    <row r="660">
      <c r="A660" t="inlineStr">
        <is>
          <t>R200</t>
        </is>
      </c>
      <c r="B660" t="inlineStr">
        <is>
          <t>Q3</t>
        </is>
      </c>
      <c r="C660" t="inlineStr">
        <is>
          <t>Yes</t>
        </is>
      </c>
      <c r="D660" t="inlineStr">
        <is>
          <t>Partial</t>
        </is>
      </c>
      <c r="E660">
        <f>VLOOKUP(C660,CategoryMap,2,0)</f>
        <v/>
      </c>
      <c r="F660">
        <f>VLOOKUP(D660,CategoryMap,2,0)</f>
        <v/>
      </c>
      <c r="G660">
        <f>ABS(E660-F660)</f>
        <v/>
      </c>
      <c r="H660">
        <f>IF(G660=0,"Yes","No")</f>
        <v/>
      </c>
      <c r="I660" t="inlineStr">
        <is>
          <t>Yes</t>
        </is>
      </c>
      <c r="J660">
        <f>IF(I660="","",IF(AND(I660=C660,I660=D660),"Both",IF(I660=C660,"Opus",IF(I660=D660,"Sonnet","Neither"))))</f>
        <v/>
      </c>
    </row>
    <row r="661">
      <c r="A661" t="inlineStr">
        <is>
          <t>R200</t>
        </is>
      </c>
      <c r="B661" t="inlineStr">
        <is>
          <t>Q4</t>
        </is>
      </c>
      <c r="C661" t="inlineStr">
        <is>
          <t>Partial</t>
        </is>
      </c>
      <c r="D661" t="inlineStr">
        <is>
          <t>Yes</t>
        </is>
      </c>
      <c r="E661">
        <f>VLOOKUP(C661,CategoryMap,2,0)</f>
        <v/>
      </c>
      <c r="F661">
        <f>VLOOKUP(D661,CategoryMap,2,0)</f>
        <v/>
      </c>
      <c r="G661">
        <f>ABS(E661-F661)</f>
        <v/>
      </c>
      <c r="H661">
        <f>IF(G661=0,"Yes","No")</f>
        <v/>
      </c>
      <c r="I661" t="inlineStr">
        <is>
          <t>Partial</t>
        </is>
      </c>
      <c r="J661">
        <f>IF(I661="","",IF(AND(I661=C661,I661=D661),"Both",IF(I661=C661,"Opus",IF(I661=D661,"Sonnet","Neither"))))</f>
        <v/>
      </c>
    </row>
    <row r="662">
      <c r="A662" t="inlineStr">
        <is>
          <t>R200</t>
        </is>
      </c>
      <c r="B662" t="inlineStr">
        <is>
          <t>Q5</t>
        </is>
      </c>
      <c r="C662" t="inlineStr">
        <is>
          <t>Yes</t>
        </is>
      </c>
      <c r="D662" t="inlineStr">
        <is>
          <t>Yes</t>
        </is>
      </c>
      <c r="E662">
        <f>VLOOKUP(C662,CategoryMap,2,0)</f>
        <v/>
      </c>
      <c r="F662">
        <f>VLOOKUP(D662,CategoryMap,2,0)</f>
        <v/>
      </c>
      <c r="G662">
        <f>ABS(E662-F662)</f>
        <v/>
      </c>
      <c r="H662">
        <f>IF(G662=0,"Yes","No")</f>
        <v/>
      </c>
      <c r="I662" t="inlineStr">
        <is>
          <t>Yes</t>
        </is>
      </c>
      <c r="J662">
        <f>IF(I662="","",IF(AND(I662=C662,I662=D662),"Both",IF(I662=C662,"Opus",IF(I662=D662,"Sonnet","Neither"))))</f>
        <v/>
      </c>
    </row>
    <row r="663">
      <c r="A663" t="inlineStr">
        <is>
          <t>R200</t>
        </is>
      </c>
      <c r="B663" t="inlineStr">
        <is>
          <t>Q6</t>
        </is>
      </c>
      <c r="C663" t="inlineStr">
        <is>
          <t>Yes</t>
        </is>
      </c>
      <c r="D663" t="inlineStr">
        <is>
          <t>Yes</t>
        </is>
      </c>
      <c r="E663">
        <f>VLOOKUP(C663,CategoryMap,2,0)</f>
        <v/>
      </c>
      <c r="F663">
        <f>VLOOKUP(D663,CategoryMap,2,0)</f>
        <v/>
      </c>
      <c r="G663">
        <f>ABS(E663-F663)</f>
        <v/>
      </c>
      <c r="H663">
        <f>IF(G663=0,"Yes","No")</f>
        <v/>
      </c>
      <c r="I663" t="inlineStr">
        <is>
          <t>Yes</t>
        </is>
      </c>
      <c r="J663">
        <f>IF(I663="","",IF(AND(I663=C663,I663=D663),"Both",IF(I663=C663,"Opus",IF(I663=D663,"Sonnet","Neither"))))</f>
        <v/>
      </c>
    </row>
    <row r="664">
      <c r="A664" t="inlineStr">
        <is>
          <t>R200</t>
        </is>
      </c>
      <c r="B664" t="inlineStr">
        <is>
          <t>Q7</t>
        </is>
      </c>
      <c r="C664" t="inlineStr">
        <is>
          <t>Partial</t>
        </is>
      </c>
      <c r="D664" t="inlineStr">
        <is>
          <t>Yes</t>
        </is>
      </c>
      <c r="E664">
        <f>VLOOKUP(C664,CategoryMap,2,0)</f>
        <v/>
      </c>
      <c r="F664">
        <f>VLOOKUP(D664,CategoryMap,2,0)</f>
        <v/>
      </c>
      <c r="G664">
        <f>ABS(E664-F664)</f>
        <v/>
      </c>
      <c r="H664">
        <f>IF(G664=0,"Yes","No")</f>
        <v/>
      </c>
      <c r="I664" t="inlineStr">
        <is>
          <t>Partial</t>
        </is>
      </c>
      <c r="J664">
        <f>IF(I664="","",IF(AND(I664=C664,I664=D664),"Both",IF(I664=C664,"Opus",IF(I664=D664,"Sonnet","Neither"))))</f>
        <v/>
      </c>
    </row>
    <row r="665">
      <c r="A665" t="inlineStr">
        <is>
          <t>R200</t>
        </is>
      </c>
      <c r="B665" t="inlineStr">
        <is>
          <t>Q8</t>
        </is>
      </c>
      <c r="C665" t="inlineStr">
        <is>
          <t>Partial</t>
        </is>
      </c>
      <c r="D665" t="inlineStr">
        <is>
          <t>Partial</t>
        </is>
      </c>
      <c r="E665">
        <f>VLOOKUP(C665,CategoryMap,2,0)</f>
        <v/>
      </c>
      <c r="F665">
        <f>VLOOKUP(D665,CategoryMap,2,0)</f>
        <v/>
      </c>
      <c r="G665">
        <f>ABS(E665-F665)</f>
        <v/>
      </c>
      <c r="H665">
        <f>IF(G665=0,"Yes","No")</f>
        <v/>
      </c>
      <c r="I665" t="inlineStr">
        <is>
          <t>Partial</t>
        </is>
      </c>
      <c r="J665">
        <f>IF(I665="","",IF(AND(I665=C665,I665=D665),"Both",IF(I665=C665,"Opus",IF(I665=D665,"Sonnet","Neither"))))</f>
        <v/>
      </c>
    </row>
    <row r="666">
      <c r="A666" t="inlineStr">
        <is>
          <t>R201</t>
        </is>
      </c>
      <c r="B666" t="inlineStr">
        <is>
          <t>Q1</t>
        </is>
      </c>
      <c r="C666" t="inlineStr">
        <is>
          <t>Partial</t>
        </is>
      </c>
      <c r="D666" t="inlineStr">
        <is>
          <t>No</t>
        </is>
      </c>
      <c r="E666">
        <f>VLOOKUP(C666,CategoryMap,2,0)</f>
        <v/>
      </c>
      <c r="F666">
        <f>VLOOKUP(D666,CategoryMap,2,0)</f>
        <v/>
      </c>
      <c r="G666">
        <f>ABS(E666-F666)</f>
        <v/>
      </c>
      <c r="H666">
        <f>IF(G666=0,"Yes","No")</f>
        <v/>
      </c>
      <c r="I666" t="inlineStr">
        <is>
          <t>No</t>
        </is>
      </c>
      <c r="J666">
        <f>IF(I666="","",IF(AND(I666=C666,I666=D666),"Both",IF(I666=C666,"Opus",IF(I666=D666,"Sonnet","Neither"))))</f>
        <v/>
      </c>
    </row>
    <row r="667">
      <c r="A667" t="inlineStr">
        <is>
          <t>R201</t>
        </is>
      </c>
      <c r="B667" t="inlineStr">
        <is>
          <t>Q2</t>
        </is>
      </c>
      <c r="C667" t="inlineStr">
        <is>
          <t>Partial</t>
        </is>
      </c>
      <c r="D667" t="inlineStr">
        <is>
          <t>Partial</t>
        </is>
      </c>
      <c r="E667">
        <f>VLOOKUP(C667,CategoryMap,2,0)</f>
        <v/>
      </c>
      <c r="F667">
        <f>VLOOKUP(D667,CategoryMap,2,0)</f>
        <v/>
      </c>
      <c r="G667">
        <f>ABS(E667-F667)</f>
        <v/>
      </c>
      <c r="H667">
        <f>IF(G667=0,"Yes","No")</f>
        <v/>
      </c>
      <c r="I667" t="inlineStr">
        <is>
          <t>Partial</t>
        </is>
      </c>
      <c r="J667">
        <f>IF(I667="","",IF(AND(I667=C667,I667=D667),"Both",IF(I667=C667,"Opus",IF(I667=D667,"Sonnet","Neither"))))</f>
        <v/>
      </c>
    </row>
    <row r="668">
      <c r="A668" t="inlineStr">
        <is>
          <t>R201</t>
        </is>
      </c>
      <c r="B668" t="inlineStr">
        <is>
          <t>Q3</t>
        </is>
      </c>
      <c r="C668" t="inlineStr">
        <is>
          <t>Yes</t>
        </is>
      </c>
      <c r="D668" t="inlineStr">
        <is>
          <t>Partial</t>
        </is>
      </c>
      <c r="E668">
        <f>VLOOKUP(C668,CategoryMap,2,0)</f>
        <v/>
      </c>
      <c r="F668">
        <f>VLOOKUP(D668,CategoryMap,2,0)</f>
        <v/>
      </c>
      <c r="G668">
        <f>ABS(E668-F668)</f>
        <v/>
      </c>
      <c r="H668">
        <f>IF(G668=0,"Yes","No")</f>
        <v/>
      </c>
      <c r="I668" t="inlineStr">
        <is>
          <t>Partial</t>
        </is>
      </c>
      <c r="J668">
        <f>IF(I668="","",IF(AND(I668=C668,I668=D668),"Both",IF(I668=C668,"Opus",IF(I668=D668,"Sonnet","Neither"))))</f>
        <v/>
      </c>
    </row>
    <row r="669">
      <c r="A669" t="inlineStr">
        <is>
          <t>R201</t>
        </is>
      </c>
      <c r="B669" t="inlineStr">
        <is>
          <t>Q4</t>
        </is>
      </c>
      <c r="C669" t="inlineStr">
        <is>
          <t>Partial</t>
        </is>
      </c>
      <c r="D669" t="inlineStr">
        <is>
          <t>Partial</t>
        </is>
      </c>
      <c r="E669">
        <f>VLOOKUP(C669,CategoryMap,2,0)</f>
        <v/>
      </c>
      <c r="F669">
        <f>VLOOKUP(D669,CategoryMap,2,0)</f>
        <v/>
      </c>
      <c r="G669">
        <f>ABS(E669-F669)</f>
        <v/>
      </c>
      <c r="H669">
        <f>IF(G669=0,"Yes","No")</f>
        <v/>
      </c>
      <c r="I669" t="inlineStr">
        <is>
          <t>Partial</t>
        </is>
      </c>
      <c r="J669">
        <f>IF(I669="","",IF(AND(I669=C669,I669=D669),"Both",IF(I669=C669,"Opus",IF(I669=D669,"Sonnet","Neither"))))</f>
        <v/>
      </c>
    </row>
    <row r="670">
      <c r="A670" t="inlineStr">
        <is>
          <t>R201</t>
        </is>
      </c>
      <c r="B670" t="inlineStr">
        <is>
          <t>Q5</t>
        </is>
      </c>
      <c r="C670" t="inlineStr">
        <is>
          <t>Partial</t>
        </is>
      </c>
      <c r="D670" t="inlineStr">
        <is>
          <t>Partial</t>
        </is>
      </c>
      <c r="E670">
        <f>VLOOKUP(C670,CategoryMap,2,0)</f>
        <v/>
      </c>
      <c r="F670">
        <f>VLOOKUP(D670,CategoryMap,2,0)</f>
        <v/>
      </c>
      <c r="G670">
        <f>ABS(E670-F670)</f>
        <v/>
      </c>
      <c r="H670">
        <f>IF(G670=0,"Yes","No")</f>
        <v/>
      </c>
      <c r="I670" t="inlineStr">
        <is>
          <t>Partial</t>
        </is>
      </c>
      <c r="J670">
        <f>IF(I670="","",IF(AND(I670=C670,I670=D670),"Both",IF(I670=C670,"Opus",IF(I670=D670,"Sonnet","Neither"))))</f>
        <v/>
      </c>
    </row>
    <row r="671">
      <c r="A671" t="inlineStr">
        <is>
          <t>R201</t>
        </is>
      </c>
      <c r="B671" t="inlineStr">
        <is>
          <t>Q6</t>
        </is>
      </c>
      <c r="C671" t="inlineStr">
        <is>
          <t>No</t>
        </is>
      </c>
      <c r="D671" t="inlineStr">
        <is>
          <t>No</t>
        </is>
      </c>
      <c r="E671">
        <f>VLOOKUP(C671,CategoryMap,2,0)</f>
        <v/>
      </c>
      <c r="F671">
        <f>VLOOKUP(D671,CategoryMap,2,0)</f>
        <v/>
      </c>
      <c r="G671">
        <f>ABS(E671-F671)</f>
        <v/>
      </c>
      <c r="H671">
        <f>IF(G671=0,"Yes","No")</f>
        <v/>
      </c>
      <c r="I671" t="inlineStr">
        <is>
          <t>No</t>
        </is>
      </c>
      <c r="J671">
        <f>IF(I671="","",IF(AND(I671=C671,I671=D671),"Both",IF(I671=C671,"Opus",IF(I671=D671,"Sonnet","Neither"))))</f>
        <v/>
      </c>
    </row>
    <row r="672">
      <c r="A672" t="inlineStr">
        <is>
          <t>R201</t>
        </is>
      </c>
      <c r="B672" t="inlineStr">
        <is>
          <t>Q7</t>
        </is>
      </c>
      <c r="C672" t="inlineStr">
        <is>
          <t>No</t>
        </is>
      </c>
      <c r="D672" t="inlineStr">
        <is>
          <t>No</t>
        </is>
      </c>
      <c r="E672">
        <f>VLOOKUP(C672,CategoryMap,2,0)</f>
        <v/>
      </c>
      <c r="F672">
        <f>VLOOKUP(D672,CategoryMap,2,0)</f>
        <v/>
      </c>
      <c r="G672">
        <f>ABS(E672-F672)</f>
        <v/>
      </c>
      <c r="H672">
        <f>IF(G672=0,"Yes","No")</f>
        <v/>
      </c>
      <c r="I672" t="inlineStr">
        <is>
          <t>No</t>
        </is>
      </c>
      <c r="J672">
        <f>IF(I672="","",IF(AND(I672=C672,I672=D672),"Both",IF(I672=C672,"Opus",IF(I672=D672,"Sonnet","Neither"))))</f>
        <v/>
      </c>
    </row>
    <row r="673">
      <c r="A673" t="inlineStr">
        <is>
          <t>R201</t>
        </is>
      </c>
      <c r="B673" t="inlineStr">
        <is>
          <t>Q8</t>
        </is>
      </c>
      <c r="C673" t="inlineStr">
        <is>
          <t>Yes</t>
        </is>
      </c>
      <c r="D673" t="inlineStr">
        <is>
          <t>Partial</t>
        </is>
      </c>
      <c r="E673">
        <f>VLOOKUP(C673,CategoryMap,2,0)</f>
        <v/>
      </c>
      <c r="F673">
        <f>VLOOKUP(D673,CategoryMap,2,0)</f>
        <v/>
      </c>
      <c r="G673">
        <f>ABS(E673-F673)</f>
        <v/>
      </c>
      <c r="H673">
        <f>IF(G673=0,"Yes","No")</f>
        <v/>
      </c>
      <c r="I673" t="inlineStr">
        <is>
          <t>Partial</t>
        </is>
      </c>
      <c r="J673">
        <f>IF(I673="","",IF(AND(I673=C673,I673=D673),"Both",IF(I673=C673,"Opus",IF(I673=D673,"Sonnet","Neither"))))</f>
        <v/>
      </c>
    </row>
    <row r="674">
      <c r="A674" t="inlineStr">
        <is>
          <t>R202</t>
        </is>
      </c>
      <c r="B674" t="inlineStr">
        <is>
          <t>Q1</t>
        </is>
      </c>
      <c r="C674" t="inlineStr">
        <is>
          <t>Yes</t>
        </is>
      </c>
      <c r="D674" t="inlineStr">
        <is>
          <t>Yes</t>
        </is>
      </c>
      <c r="E674">
        <f>VLOOKUP(C674,CategoryMap,2,0)</f>
        <v/>
      </c>
      <c r="F674">
        <f>VLOOKUP(D674,CategoryMap,2,0)</f>
        <v/>
      </c>
      <c r="G674">
        <f>ABS(E674-F674)</f>
        <v/>
      </c>
      <c r="H674">
        <f>IF(G674=0,"Yes","No")</f>
        <v/>
      </c>
      <c r="I674" t="inlineStr">
        <is>
          <t>Yes</t>
        </is>
      </c>
      <c r="J674">
        <f>IF(I674="","",IF(AND(I674=C674,I674=D674),"Both",IF(I674=C674,"Opus",IF(I674=D674,"Sonnet","Neither"))))</f>
        <v/>
      </c>
    </row>
    <row r="675">
      <c r="A675" t="inlineStr">
        <is>
          <t>R202</t>
        </is>
      </c>
      <c r="B675" t="inlineStr">
        <is>
          <t>Q2</t>
        </is>
      </c>
      <c r="C675" t="inlineStr">
        <is>
          <t>Yes</t>
        </is>
      </c>
      <c r="D675" t="inlineStr">
        <is>
          <t>Yes</t>
        </is>
      </c>
      <c r="E675">
        <f>VLOOKUP(C675,CategoryMap,2,0)</f>
        <v/>
      </c>
      <c r="F675">
        <f>VLOOKUP(D675,CategoryMap,2,0)</f>
        <v/>
      </c>
      <c r="G675">
        <f>ABS(E675-F675)</f>
        <v/>
      </c>
      <c r="H675">
        <f>IF(G675=0,"Yes","No")</f>
        <v/>
      </c>
      <c r="I675" t="inlineStr">
        <is>
          <t>Yes</t>
        </is>
      </c>
      <c r="J675">
        <f>IF(I675="","",IF(AND(I675=C675,I675=D675),"Both",IF(I675=C675,"Opus",IF(I675=D675,"Sonnet","Neither"))))</f>
        <v/>
      </c>
    </row>
    <row r="676">
      <c r="A676" t="inlineStr">
        <is>
          <t>R202</t>
        </is>
      </c>
      <c r="B676" t="inlineStr">
        <is>
          <t>Q3</t>
        </is>
      </c>
      <c r="C676" t="inlineStr">
        <is>
          <t>Yes</t>
        </is>
      </c>
      <c r="D676" t="inlineStr">
        <is>
          <t>Yes</t>
        </is>
      </c>
      <c r="E676">
        <f>VLOOKUP(C676,CategoryMap,2,0)</f>
        <v/>
      </c>
      <c r="F676">
        <f>VLOOKUP(D676,CategoryMap,2,0)</f>
        <v/>
      </c>
      <c r="G676">
        <f>ABS(E676-F676)</f>
        <v/>
      </c>
      <c r="H676">
        <f>IF(G676=0,"Yes","No")</f>
        <v/>
      </c>
      <c r="I676" t="inlineStr">
        <is>
          <t>Yes</t>
        </is>
      </c>
      <c r="J676">
        <f>IF(I676="","",IF(AND(I676=C676,I676=D676),"Both",IF(I676=C676,"Opus",IF(I676=D676,"Sonnet","Neither"))))</f>
        <v/>
      </c>
    </row>
    <row r="677">
      <c r="A677" t="inlineStr">
        <is>
          <t>R202</t>
        </is>
      </c>
      <c r="B677" t="inlineStr">
        <is>
          <t>Q4</t>
        </is>
      </c>
      <c r="C677" t="inlineStr">
        <is>
          <t>Partial</t>
        </is>
      </c>
      <c r="D677" t="inlineStr">
        <is>
          <t>Yes</t>
        </is>
      </c>
      <c r="E677">
        <f>VLOOKUP(C677,CategoryMap,2,0)</f>
        <v/>
      </c>
      <c r="F677">
        <f>VLOOKUP(D677,CategoryMap,2,0)</f>
        <v/>
      </c>
      <c r="G677">
        <f>ABS(E677-F677)</f>
        <v/>
      </c>
      <c r="H677">
        <f>IF(G677=0,"Yes","No")</f>
        <v/>
      </c>
      <c r="I677" t="inlineStr">
        <is>
          <t>Yes</t>
        </is>
      </c>
      <c r="J677">
        <f>IF(I677="","",IF(AND(I677=C677,I677=D677),"Both",IF(I677=C677,"Opus",IF(I677=D677,"Sonnet","Neither"))))</f>
        <v/>
      </c>
    </row>
    <row r="678">
      <c r="A678" t="inlineStr">
        <is>
          <t>R202</t>
        </is>
      </c>
      <c r="B678" t="inlineStr">
        <is>
          <t>Q5</t>
        </is>
      </c>
      <c r="C678" t="inlineStr">
        <is>
          <t>Partial</t>
        </is>
      </c>
      <c r="D678" t="inlineStr">
        <is>
          <t>Partial</t>
        </is>
      </c>
      <c r="E678">
        <f>VLOOKUP(C678,CategoryMap,2,0)</f>
        <v/>
      </c>
      <c r="F678">
        <f>VLOOKUP(D678,CategoryMap,2,0)</f>
        <v/>
      </c>
      <c r="G678">
        <f>ABS(E678-F678)</f>
        <v/>
      </c>
      <c r="H678">
        <f>IF(G678=0,"Yes","No")</f>
        <v/>
      </c>
      <c r="I678" t="inlineStr">
        <is>
          <t>Partial</t>
        </is>
      </c>
      <c r="J678">
        <f>IF(I678="","",IF(AND(I678=C678,I678=D678),"Both",IF(I678=C678,"Opus",IF(I678=D678,"Sonnet","Neither"))))</f>
        <v/>
      </c>
    </row>
    <row r="679">
      <c r="A679" t="inlineStr">
        <is>
          <t>R202</t>
        </is>
      </c>
      <c r="B679" t="inlineStr">
        <is>
          <t>Q6</t>
        </is>
      </c>
      <c r="C679" t="inlineStr">
        <is>
          <t>Partial</t>
        </is>
      </c>
      <c r="D679" t="inlineStr">
        <is>
          <t>Partial</t>
        </is>
      </c>
      <c r="E679">
        <f>VLOOKUP(C679,CategoryMap,2,0)</f>
        <v/>
      </c>
      <c r="F679">
        <f>VLOOKUP(D679,CategoryMap,2,0)</f>
        <v/>
      </c>
      <c r="G679">
        <f>ABS(E679-F679)</f>
        <v/>
      </c>
      <c r="H679">
        <f>IF(G679=0,"Yes","No")</f>
        <v/>
      </c>
      <c r="I679" t="inlineStr">
        <is>
          <t>Partial</t>
        </is>
      </c>
      <c r="J679">
        <f>IF(I679="","",IF(AND(I679=C679,I679=D679),"Both",IF(I679=C679,"Opus",IF(I679=D679,"Sonnet","Neither"))))</f>
        <v/>
      </c>
    </row>
    <row r="680">
      <c r="A680" t="inlineStr">
        <is>
          <t>R202</t>
        </is>
      </c>
      <c r="B680" t="inlineStr">
        <is>
          <t>Q7</t>
        </is>
      </c>
      <c r="C680" t="inlineStr">
        <is>
          <t>Yes</t>
        </is>
      </c>
      <c r="D680" t="inlineStr">
        <is>
          <t>Yes</t>
        </is>
      </c>
      <c r="E680">
        <f>VLOOKUP(C680,CategoryMap,2,0)</f>
        <v/>
      </c>
      <c r="F680">
        <f>VLOOKUP(D680,CategoryMap,2,0)</f>
        <v/>
      </c>
      <c r="G680">
        <f>ABS(E680-F680)</f>
        <v/>
      </c>
      <c r="H680">
        <f>IF(G680=0,"Yes","No")</f>
        <v/>
      </c>
      <c r="I680" t="inlineStr">
        <is>
          <t>Yes</t>
        </is>
      </c>
      <c r="J680">
        <f>IF(I680="","",IF(AND(I680=C680,I680=D680),"Both",IF(I680=C680,"Opus",IF(I680=D680,"Sonnet","Neither"))))</f>
        <v/>
      </c>
    </row>
    <row r="681">
      <c r="A681" t="inlineStr">
        <is>
          <t>R202</t>
        </is>
      </c>
      <c r="B681" t="inlineStr">
        <is>
          <t>Q8</t>
        </is>
      </c>
      <c r="C681" t="inlineStr">
        <is>
          <t>Partial</t>
        </is>
      </c>
      <c r="D681" t="inlineStr">
        <is>
          <t>Partial</t>
        </is>
      </c>
      <c r="E681">
        <f>VLOOKUP(C681,CategoryMap,2,0)</f>
        <v/>
      </c>
      <c r="F681">
        <f>VLOOKUP(D681,CategoryMap,2,0)</f>
        <v/>
      </c>
      <c r="G681">
        <f>ABS(E681-F681)</f>
        <v/>
      </c>
      <c r="H681">
        <f>IF(G681=0,"Yes","No")</f>
        <v/>
      </c>
      <c r="I681" t="inlineStr">
        <is>
          <t>No</t>
        </is>
      </c>
      <c r="J681">
        <f>IF(I681="","",IF(AND(I681=C681,I681=D681),"Both",IF(I681=C681,"Opus",IF(I681=D681,"Sonnet","Neither"))))</f>
        <v/>
      </c>
    </row>
    <row r="682">
      <c r="A682" t="inlineStr">
        <is>
          <t>R204</t>
        </is>
      </c>
      <c r="B682" t="inlineStr">
        <is>
          <t>Q1</t>
        </is>
      </c>
      <c r="C682" t="inlineStr">
        <is>
          <t>Partial</t>
        </is>
      </c>
      <c r="D682" t="inlineStr">
        <is>
          <t>Partial</t>
        </is>
      </c>
      <c r="E682">
        <f>VLOOKUP(C682,CategoryMap,2,0)</f>
        <v/>
      </c>
      <c r="F682">
        <f>VLOOKUP(D682,CategoryMap,2,0)</f>
        <v/>
      </c>
      <c r="G682">
        <f>ABS(E682-F682)</f>
        <v/>
      </c>
      <c r="H682">
        <f>IF(G682=0,"Yes","No")</f>
        <v/>
      </c>
      <c r="I682" t="inlineStr">
        <is>
          <t>Partial</t>
        </is>
      </c>
      <c r="J682">
        <f>IF(I682="","",IF(AND(I682=C682,I682=D682),"Both",IF(I682=C682,"Opus",IF(I682=D682,"Sonnet","Neither"))))</f>
        <v/>
      </c>
    </row>
    <row r="683">
      <c r="A683" t="inlineStr">
        <is>
          <t>R204</t>
        </is>
      </c>
      <c r="B683" t="inlineStr">
        <is>
          <t>Q2</t>
        </is>
      </c>
      <c r="C683" t="inlineStr">
        <is>
          <t>Partial</t>
        </is>
      </c>
      <c r="D683" t="inlineStr">
        <is>
          <t>Partial</t>
        </is>
      </c>
      <c r="E683">
        <f>VLOOKUP(C683,CategoryMap,2,0)</f>
        <v/>
      </c>
      <c r="F683">
        <f>VLOOKUP(D683,CategoryMap,2,0)</f>
        <v/>
      </c>
      <c r="G683">
        <f>ABS(E683-F683)</f>
        <v/>
      </c>
      <c r="H683">
        <f>IF(G683=0,"Yes","No")</f>
        <v/>
      </c>
      <c r="I683" t="inlineStr">
        <is>
          <t>Partial</t>
        </is>
      </c>
      <c r="J683">
        <f>IF(I683="","",IF(AND(I683=C683,I683=D683),"Both",IF(I683=C683,"Opus",IF(I683=D683,"Sonnet","Neither"))))</f>
        <v/>
      </c>
    </row>
    <row r="684">
      <c r="A684" t="inlineStr">
        <is>
          <t>R204</t>
        </is>
      </c>
      <c r="B684" t="inlineStr">
        <is>
          <t>Q3</t>
        </is>
      </c>
      <c r="C684" t="inlineStr">
        <is>
          <t>Yes</t>
        </is>
      </c>
      <c r="D684" t="inlineStr">
        <is>
          <t>Partial</t>
        </is>
      </c>
      <c r="E684">
        <f>VLOOKUP(C684,CategoryMap,2,0)</f>
        <v/>
      </c>
      <c r="F684">
        <f>VLOOKUP(D684,CategoryMap,2,0)</f>
        <v/>
      </c>
      <c r="G684">
        <f>ABS(E684-F684)</f>
        <v/>
      </c>
      <c r="H684">
        <f>IF(G684=0,"Yes","No")</f>
        <v/>
      </c>
      <c r="I684" t="inlineStr">
        <is>
          <t>Yes</t>
        </is>
      </c>
      <c r="J684">
        <f>IF(I684="","",IF(AND(I684=C684,I684=D684),"Both",IF(I684=C684,"Opus",IF(I684=D684,"Sonnet","Neither"))))</f>
        <v/>
      </c>
    </row>
    <row r="685">
      <c r="A685" t="inlineStr">
        <is>
          <t>R204</t>
        </is>
      </c>
      <c r="B685" t="inlineStr">
        <is>
          <t>Q4</t>
        </is>
      </c>
      <c r="C685" t="inlineStr">
        <is>
          <t>Partial</t>
        </is>
      </c>
      <c r="D685" t="inlineStr">
        <is>
          <t>Partial</t>
        </is>
      </c>
      <c r="E685">
        <f>VLOOKUP(C685,CategoryMap,2,0)</f>
        <v/>
      </c>
      <c r="F685">
        <f>VLOOKUP(D685,CategoryMap,2,0)</f>
        <v/>
      </c>
      <c r="G685">
        <f>ABS(E685-F685)</f>
        <v/>
      </c>
      <c r="H685">
        <f>IF(G685=0,"Yes","No")</f>
        <v/>
      </c>
      <c r="I685" t="inlineStr">
        <is>
          <t>Partial</t>
        </is>
      </c>
      <c r="J685">
        <f>IF(I685="","",IF(AND(I685=C685,I685=D685),"Both",IF(I685=C685,"Opus",IF(I685=D685,"Sonnet","Neither"))))</f>
        <v/>
      </c>
    </row>
    <row r="686">
      <c r="A686" t="inlineStr">
        <is>
          <t>R204</t>
        </is>
      </c>
      <c r="B686" t="inlineStr">
        <is>
          <t>Q5</t>
        </is>
      </c>
      <c r="C686" t="inlineStr">
        <is>
          <t>Partial</t>
        </is>
      </c>
      <c r="D686" t="inlineStr">
        <is>
          <t>Yes</t>
        </is>
      </c>
      <c r="E686">
        <f>VLOOKUP(C686,CategoryMap,2,0)</f>
        <v/>
      </c>
      <c r="F686">
        <f>VLOOKUP(D686,CategoryMap,2,0)</f>
        <v/>
      </c>
      <c r="G686">
        <f>ABS(E686-F686)</f>
        <v/>
      </c>
      <c r="H686">
        <f>IF(G686=0,"Yes","No")</f>
        <v/>
      </c>
      <c r="I686" t="inlineStr">
        <is>
          <t>Partial</t>
        </is>
      </c>
      <c r="J686">
        <f>IF(I686="","",IF(AND(I686=C686,I686=D686),"Both",IF(I686=C686,"Opus",IF(I686=D686,"Sonnet","Neither"))))</f>
        <v/>
      </c>
    </row>
    <row r="687">
      <c r="A687" t="inlineStr">
        <is>
          <t>R204</t>
        </is>
      </c>
      <c r="B687" t="inlineStr">
        <is>
          <t>Q6</t>
        </is>
      </c>
      <c r="C687" t="inlineStr">
        <is>
          <t>Partial</t>
        </is>
      </c>
      <c r="D687" t="inlineStr">
        <is>
          <t>Yes</t>
        </is>
      </c>
      <c r="E687">
        <f>VLOOKUP(C687,CategoryMap,2,0)</f>
        <v/>
      </c>
      <c r="F687">
        <f>VLOOKUP(D687,CategoryMap,2,0)</f>
        <v/>
      </c>
      <c r="G687">
        <f>ABS(E687-F687)</f>
        <v/>
      </c>
      <c r="H687">
        <f>IF(G687=0,"Yes","No")</f>
        <v/>
      </c>
      <c r="I687" t="inlineStr">
        <is>
          <t>Yes</t>
        </is>
      </c>
      <c r="J687">
        <f>IF(I687="","",IF(AND(I687=C687,I687=D687),"Both",IF(I687=C687,"Opus",IF(I687=D687,"Sonnet","Neither"))))</f>
        <v/>
      </c>
    </row>
    <row r="688">
      <c r="A688" t="inlineStr">
        <is>
          <t>R204</t>
        </is>
      </c>
      <c r="B688" t="inlineStr">
        <is>
          <t>Q7</t>
        </is>
      </c>
      <c r="C688" t="inlineStr">
        <is>
          <t>Partial</t>
        </is>
      </c>
      <c r="D688" t="inlineStr">
        <is>
          <t>Partial</t>
        </is>
      </c>
      <c r="E688">
        <f>VLOOKUP(C688,CategoryMap,2,0)</f>
        <v/>
      </c>
      <c r="F688">
        <f>VLOOKUP(D688,CategoryMap,2,0)</f>
        <v/>
      </c>
      <c r="G688">
        <f>ABS(E688-F688)</f>
        <v/>
      </c>
      <c r="H688">
        <f>IF(G688=0,"Yes","No")</f>
        <v/>
      </c>
      <c r="I688" t="inlineStr">
        <is>
          <t>Partial</t>
        </is>
      </c>
      <c r="J688">
        <f>IF(I688="","",IF(AND(I688=C688,I688=D688),"Both",IF(I688=C688,"Opus",IF(I688=D688,"Sonnet","Neither"))))</f>
        <v/>
      </c>
    </row>
    <row r="689">
      <c r="A689" t="inlineStr">
        <is>
          <t>R204</t>
        </is>
      </c>
      <c r="B689" t="inlineStr">
        <is>
          <t>Q8</t>
        </is>
      </c>
      <c r="C689" t="inlineStr">
        <is>
          <t>Partial</t>
        </is>
      </c>
      <c r="D689" t="inlineStr">
        <is>
          <t>No</t>
        </is>
      </c>
      <c r="E689">
        <f>VLOOKUP(C689,CategoryMap,2,0)</f>
        <v/>
      </c>
      <c r="F689">
        <f>VLOOKUP(D689,CategoryMap,2,0)</f>
        <v/>
      </c>
      <c r="G689">
        <f>ABS(E689-F689)</f>
        <v/>
      </c>
      <c r="H689">
        <f>IF(G689=0,"Yes","No")</f>
        <v/>
      </c>
      <c r="I689" t="inlineStr">
        <is>
          <t>No</t>
        </is>
      </c>
      <c r="J689">
        <f>IF(I689="","",IF(AND(I689=C689,I689=D689),"Both",IF(I689=C689,"Opus",IF(I689=D689,"Sonnet","Neither"))))</f>
        <v/>
      </c>
    </row>
    <row r="690">
      <c r="A690" t="inlineStr">
        <is>
          <t>R205</t>
        </is>
      </c>
      <c r="B690" t="inlineStr">
        <is>
          <t>Q1</t>
        </is>
      </c>
      <c r="C690" t="inlineStr">
        <is>
          <t>Partial</t>
        </is>
      </c>
      <c r="D690" t="inlineStr">
        <is>
          <t>No</t>
        </is>
      </c>
      <c r="E690">
        <f>VLOOKUP(C690,CategoryMap,2,0)</f>
        <v/>
      </c>
      <c r="F690">
        <f>VLOOKUP(D690,CategoryMap,2,0)</f>
        <v/>
      </c>
      <c r="G690">
        <f>ABS(E690-F690)</f>
        <v/>
      </c>
      <c r="H690">
        <f>IF(G690=0,"Yes","No")</f>
        <v/>
      </c>
      <c r="I690" t="inlineStr">
        <is>
          <t>Partial</t>
        </is>
      </c>
      <c r="J690">
        <f>IF(I690="","",IF(AND(I690=C690,I690=D690),"Both",IF(I690=C690,"Opus",IF(I690=D690,"Sonnet","Neither"))))</f>
        <v/>
      </c>
    </row>
    <row r="691">
      <c r="A691" t="inlineStr">
        <is>
          <t>R205</t>
        </is>
      </c>
      <c r="B691" t="inlineStr">
        <is>
          <t>Q2</t>
        </is>
      </c>
      <c r="C691" t="inlineStr">
        <is>
          <t>Partial</t>
        </is>
      </c>
      <c r="D691" t="inlineStr">
        <is>
          <t>No</t>
        </is>
      </c>
      <c r="E691">
        <f>VLOOKUP(C691,CategoryMap,2,0)</f>
        <v/>
      </c>
      <c r="F691">
        <f>VLOOKUP(D691,CategoryMap,2,0)</f>
        <v/>
      </c>
      <c r="G691">
        <f>ABS(E691-F691)</f>
        <v/>
      </c>
      <c r="H691">
        <f>IF(G691=0,"Yes","No")</f>
        <v/>
      </c>
      <c r="I691" t="inlineStr">
        <is>
          <t>Partial</t>
        </is>
      </c>
      <c r="J691">
        <f>IF(I691="","",IF(AND(I691=C691,I691=D691),"Both",IF(I691=C691,"Opus",IF(I691=D691,"Sonnet","Neither"))))</f>
        <v/>
      </c>
    </row>
    <row r="692">
      <c r="A692" t="inlineStr">
        <is>
          <t>R205</t>
        </is>
      </c>
      <c r="B692" t="inlineStr">
        <is>
          <t>Q3</t>
        </is>
      </c>
      <c r="C692" t="inlineStr">
        <is>
          <t>Partial</t>
        </is>
      </c>
      <c r="D692" t="inlineStr">
        <is>
          <t>No</t>
        </is>
      </c>
      <c r="E692">
        <f>VLOOKUP(C692,CategoryMap,2,0)</f>
        <v/>
      </c>
      <c r="F692">
        <f>VLOOKUP(D692,CategoryMap,2,0)</f>
        <v/>
      </c>
      <c r="G692">
        <f>ABS(E692-F692)</f>
        <v/>
      </c>
      <c r="H692">
        <f>IF(G692=0,"Yes","No")</f>
        <v/>
      </c>
      <c r="I692" t="inlineStr">
        <is>
          <t>Partial</t>
        </is>
      </c>
      <c r="J692">
        <f>IF(I692="","",IF(AND(I692=C692,I692=D692),"Both",IF(I692=C692,"Opus",IF(I692=D692,"Sonnet","Neither"))))</f>
        <v/>
      </c>
    </row>
    <row r="693">
      <c r="A693" t="inlineStr">
        <is>
          <t>R205</t>
        </is>
      </c>
      <c r="B693" t="inlineStr">
        <is>
          <t>Q4</t>
        </is>
      </c>
      <c r="C693" t="inlineStr">
        <is>
          <t>Partial</t>
        </is>
      </c>
      <c r="D693" t="inlineStr">
        <is>
          <t>Yes</t>
        </is>
      </c>
      <c r="E693">
        <f>VLOOKUP(C693,CategoryMap,2,0)</f>
        <v/>
      </c>
      <c r="F693">
        <f>VLOOKUP(D693,CategoryMap,2,0)</f>
        <v/>
      </c>
      <c r="G693">
        <f>ABS(E693-F693)</f>
        <v/>
      </c>
      <c r="H693">
        <f>IF(G693=0,"Yes","No")</f>
        <v/>
      </c>
      <c r="I693" t="inlineStr">
        <is>
          <t>Partial</t>
        </is>
      </c>
      <c r="J693">
        <f>IF(I693="","",IF(AND(I693=C693,I693=D693),"Both",IF(I693=C693,"Opus",IF(I693=D693,"Sonnet","Neither"))))</f>
        <v/>
      </c>
    </row>
    <row r="694">
      <c r="A694" t="inlineStr">
        <is>
          <t>R205</t>
        </is>
      </c>
      <c r="B694" t="inlineStr">
        <is>
          <t>Q5</t>
        </is>
      </c>
      <c r="C694" t="inlineStr">
        <is>
          <t>Yes</t>
        </is>
      </c>
      <c r="D694" t="inlineStr">
        <is>
          <t>Yes</t>
        </is>
      </c>
      <c r="E694">
        <f>VLOOKUP(C694,CategoryMap,2,0)</f>
        <v/>
      </c>
      <c r="F694">
        <f>VLOOKUP(D694,CategoryMap,2,0)</f>
        <v/>
      </c>
      <c r="G694">
        <f>ABS(E694-F694)</f>
        <v/>
      </c>
      <c r="H694">
        <f>IF(G694=0,"Yes","No")</f>
        <v/>
      </c>
      <c r="I694" t="inlineStr">
        <is>
          <t>Yes</t>
        </is>
      </c>
      <c r="J694">
        <f>IF(I694="","",IF(AND(I694=C694,I694=D694),"Both",IF(I694=C694,"Opus",IF(I694=D694,"Sonnet","Neither"))))</f>
        <v/>
      </c>
    </row>
    <row r="695">
      <c r="A695" t="inlineStr">
        <is>
          <t>R205</t>
        </is>
      </c>
      <c r="B695" t="inlineStr">
        <is>
          <t>Q6</t>
        </is>
      </c>
      <c r="C695" t="inlineStr">
        <is>
          <t>Yes</t>
        </is>
      </c>
      <c r="D695" t="inlineStr">
        <is>
          <t>Yes</t>
        </is>
      </c>
      <c r="E695">
        <f>VLOOKUP(C695,CategoryMap,2,0)</f>
        <v/>
      </c>
      <c r="F695">
        <f>VLOOKUP(D695,CategoryMap,2,0)</f>
        <v/>
      </c>
      <c r="G695">
        <f>ABS(E695-F695)</f>
        <v/>
      </c>
      <c r="H695">
        <f>IF(G695=0,"Yes","No")</f>
        <v/>
      </c>
      <c r="I695" t="inlineStr">
        <is>
          <t>Yes</t>
        </is>
      </c>
      <c r="J695">
        <f>IF(I695="","",IF(AND(I695=C695,I695=D695),"Both",IF(I695=C695,"Opus",IF(I695=D695,"Sonnet","Neither"))))</f>
        <v/>
      </c>
    </row>
    <row r="696">
      <c r="A696" t="inlineStr">
        <is>
          <t>R205</t>
        </is>
      </c>
      <c r="B696" t="inlineStr">
        <is>
          <t>Q7</t>
        </is>
      </c>
      <c r="C696" t="inlineStr">
        <is>
          <t>No</t>
        </is>
      </c>
      <c r="D696" t="inlineStr">
        <is>
          <t>No</t>
        </is>
      </c>
      <c r="E696">
        <f>VLOOKUP(C696,CategoryMap,2,0)</f>
        <v/>
      </c>
      <c r="F696">
        <f>VLOOKUP(D696,CategoryMap,2,0)</f>
        <v/>
      </c>
      <c r="G696">
        <f>ABS(E696-F696)</f>
        <v/>
      </c>
      <c r="H696">
        <f>IF(G696=0,"Yes","No")</f>
        <v/>
      </c>
      <c r="I696" t="inlineStr">
        <is>
          <t>No</t>
        </is>
      </c>
      <c r="J696">
        <f>IF(I696="","",IF(AND(I696=C696,I696=D696),"Both",IF(I696=C696,"Opus",IF(I696=D696,"Sonnet","Neither"))))</f>
        <v/>
      </c>
    </row>
    <row r="697">
      <c r="A697" t="inlineStr">
        <is>
          <t>R205</t>
        </is>
      </c>
      <c r="B697" t="inlineStr">
        <is>
          <t>Q8</t>
        </is>
      </c>
      <c r="C697" t="inlineStr">
        <is>
          <t>No</t>
        </is>
      </c>
      <c r="D697" t="inlineStr">
        <is>
          <t>No</t>
        </is>
      </c>
      <c r="E697">
        <f>VLOOKUP(C697,CategoryMap,2,0)</f>
        <v/>
      </c>
      <c r="F697">
        <f>VLOOKUP(D697,CategoryMap,2,0)</f>
        <v/>
      </c>
      <c r="G697">
        <f>ABS(E697-F697)</f>
        <v/>
      </c>
      <c r="H697">
        <f>IF(G697=0,"Yes","No")</f>
        <v/>
      </c>
      <c r="I697" t="inlineStr">
        <is>
          <t>No</t>
        </is>
      </c>
      <c r="J697">
        <f>IF(I697="","",IF(AND(I697=C697,I697=D697),"Both",IF(I697=C697,"Opus",IF(I697=D697,"Sonnet","Neither"))))</f>
        <v/>
      </c>
    </row>
    <row r="698">
      <c r="A698" t="inlineStr">
        <is>
          <t>R207</t>
        </is>
      </c>
      <c r="B698" t="inlineStr">
        <is>
          <t>Q1</t>
        </is>
      </c>
      <c r="C698" t="inlineStr">
        <is>
          <t>Partial</t>
        </is>
      </c>
      <c r="D698" t="inlineStr">
        <is>
          <t>Partial</t>
        </is>
      </c>
      <c r="E698">
        <f>VLOOKUP(C698,CategoryMap,2,0)</f>
        <v/>
      </c>
      <c r="F698">
        <f>VLOOKUP(D698,CategoryMap,2,0)</f>
        <v/>
      </c>
      <c r="G698">
        <f>ABS(E698-F698)</f>
        <v/>
      </c>
      <c r="H698">
        <f>IF(G698=0,"Yes","No")</f>
        <v/>
      </c>
      <c r="I698" t="inlineStr">
        <is>
          <t>Partial</t>
        </is>
      </c>
      <c r="J698">
        <f>IF(I698="","",IF(AND(I698=C698,I698=D698),"Both",IF(I698=C698,"Opus",IF(I698=D698,"Sonnet","Neither"))))</f>
        <v/>
      </c>
    </row>
    <row r="699">
      <c r="A699" t="inlineStr">
        <is>
          <t>R207</t>
        </is>
      </c>
      <c r="B699" t="inlineStr">
        <is>
          <t>Q2</t>
        </is>
      </c>
      <c r="C699" t="inlineStr">
        <is>
          <t>Partial</t>
        </is>
      </c>
      <c r="D699" t="inlineStr">
        <is>
          <t>Partial</t>
        </is>
      </c>
      <c r="E699">
        <f>VLOOKUP(C699,CategoryMap,2,0)</f>
        <v/>
      </c>
      <c r="F699">
        <f>VLOOKUP(D699,CategoryMap,2,0)</f>
        <v/>
      </c>
      <c r="G699">
        <f>ABS(E699-F699)</f>
        <v/>
      </c>
      <c r="H699">
        <f>IF(G699=0,"Yes","No")</f>
        <v/>
      </c>
      <c r="I699" t="inlineStr">
        <is>
          <t>Partial</t>
        </is>
      </c>
      <c r="J699">
        <f>IF(I699="","",IF(AND(I699=C699,I699=D699),"Both",IF(I699=C699,"Opus",IF(I699=D699,"Sonnet","Neither"))))</f>
        <v/>
      </c>
    </row>
    <row r="700">
      <c r="A700" t="inlineStr">
        <is>
          <t>R207</t>
        </is>
      </c>
      <c r="B700" t="inlineStr">
        <is>
          <t>Q3</t>
        </is>
      </c>
      <c r="C700" t="inlineStr">
        <is>
          <t>Yes</t>
        </is>
      </c>
      <c r="D700" t="inlineStr">
        <is>
          <t>Partial</t>
        </is>
      </c>
      <c r="E700">
        <f>VLOOKUP(C700,CategoryMap,2,0)</f>
        <v/>
      </c>
      <c r="F700">
        <f>VLOOKUP(D700,CategoryMap,2,0)</f>
        <v/>
      </c>
      <c r="G700">
        <f>ABS(E700-F700)</f>
        <v/>
      </c>
      <c r="H700">
        <f>IF(G700=0,"Yes","No")</f>
        <v/>
      </c>
      <c r="I700" t="inlineStr">
        <is>
          <t>Yes</t>
        </is>
      </c>
      <c r="J700">
        <f>IF(I700="","",IF(AND(I700=C700,I700=D700),"Both",IF(I700=C700,"Opus",IF(I700=D700,"Sonnet","Neither"))))</f>
        <v/>
      </c>
    </row>
    <row r="701">
      <c r="A701" t="inlineStr">
        <is>
          <t>R207</t>
        </is>
      </c>
      <c r="B701" t="inlineStr">
        <is>
          <t>Q4</t>
        </is>
      </c>
      <c r="C701" t="inlineStr">
        <is>
          <t>Partial</t>
        </is>
      </c>
      <c r="D701" t="inlineStr">
        <is>
          <t>Partial</t>
        </is>
      </c>
      <c r="E701">
        <f>VLOOKUP(C701,CategoryMap,2,0)</f>
        <v/>
      </c>
      <c r="F701">
        <f>VLOOKUP(D701,CategoryMap,2,0)</f>
        <v/>
      </c>
      <c r="G701">
        <f>ABS(E701-F701)</f>
        <v/>
      </c>
      <c r="H701">
        <f>IF(G701=0,"Yes","No")</f>
        <v/>
      </c>
      <c r="I701" t="inlineStr">
        <is>
          <t>Partial</t>
        </is>
      </c>
      <c r="J701">
        <f>IF(I701="","",IF(AND(I701=C701,I701=D701),"Both",IF(I701=C701,"Opus",IF(I701=D701,"Sonnet","Neither"))))</f>
        <v/>
      </c>
    </row>
    <row r="702">
      <c r="A702" t="inlineStr">
        <is>
          <t>R207</t>
        </is>
      </c>
      <c r="B702" t="inlineStr">
        <is>
          <t>Q5</t>
        </is>
      </c>
      <c r="C702" t="inlineStr">
        <is>
          <t>No</t>
        </is>
      </c>
      <c r="D702" t="inlineStr">
        <is>
          <t>Partial</t>
        </is>
      </c>
      <c r="E702">
        <f>VLOOKUP(C702,CategoryMap,2,0)</f>
        <v/>
      </c>
      <c r="F702">
        <f>VLOOKUP(D702,CategoryMap,2,0)</f>
        <v/>
      </c>
      <c r="G702">
        <f>ABS(E702-F702)</f>
        <v/>
      </c>
      <c r="H702">
        <f>IF(G702=0,"Yes","No")</f>
        <v/>
      </c>
      <c r="I702" t="inlineStr">
        <is>
          <t>No</t>
        </is>
      </c>
      <c r="J702">
        <f>IF(I702="","",IF(AND(I702=C702,I702=D702),"Both",IF(I702=C702,"Opus",IF(I702=D702,"Sonnet","Neither"))))</f>
        <v/>
      </c>
    </row>
    <row r="703">
      <c r="A703" t="inlineStr">
        <is>
          <t>R207</t>
        </is>
      </c>
      <c r="B703" t="inlineStr">
        <is>
          <t>Q6</t>
        </is>
      </c>
      <c r="C703" t="inlineStr">
        <is>
          <t>Partial</t>
        </is>
      </c>
      <c r="D703" t="inlineStr">
        <is>
          <t>Partial</t>
        </is>
      </c>
      <c r="E703">
        <f>VLOOKUP(C703,CategoryMap,2,0)</f>
        <v/>
      </c>
      <c r="F703">
        <f>VLOOKUP(D703,CategoryMap,2,0)</f>
        <v/>
      </c>
      <c r="G703">
        <f>ABS(E703-F703)</f>
        <v/>
      </c>
      <c r="H703">
        <f>IF(G703=0,"Yes","No")</f>
        <v/>
      </c>
      <c r="I703" t="inlineStr">
        <is>
          <t>Partial</t>
        </is>
      </c>
      <c r="J703">
        <f>IF(I703="","",IF(AND(I703=C703,I703=D703),"Both",IF(I703=C703,"Opus",IF(I703=D703,"Sonnet","Neither"))))</f>
        <v/>
      </c>
    </row>
    <row r="704">
      <c r="A704" t="inlineStr">
        <is>
          <t>R207</t>
        </is>
      </c>
      <c r="B704" t="inlineStr">
        <is>
          <t>Q7</t>
        </is>
      </c>
      <c r="C704" t="inlineStr">
        <is>
          <t>Yes</t>
        </is>
      </c>
      <c r="D704" t="inlineStr">
        <is>
          <t>Yes</t>
        </is>
      </c>
      <c r="E704">
        <f>VLOOKUP(C704,CategoryMap,2,0)</f>
        <v/>
      </c>
      <c r="F704">
        <f>VLOOKUP(D704,CategoryMap,2,0)</f>
        <v/>
      </c>
      <c r="G704">
        <f>ABS(E704-F704)</f>
        <v/>
      </c>
      <c r="H704">
        <f>IF(G704=0,"Yes","No")</f>
        <v/>
      </c>
      <c r="I704" t="inlineStr">
        <is>
          <t>Yes</t>
        </is>
      </c>
      <c r="J704">
        <f>IF(I704="","",IF(AND(I704=C704,I704=D704),"Both",IF(I704=C704,"Opus",IF(I704=D704,"Sonnet","Neither"))))</f>
        <v/>
      </c>
    </row>
    <row r="705">
      <c r="A705" t="inlineStr">
        <is>
          <t>R207</t>
        </is>
      </c>
      <c r="B705" t="inlineStr">
        <is>
          <t>Q8</t>
        </is>
      </c>
      <c r="C705" t="inlineStr">
        <is>
          <t>Partial</t>
        </is>
      </c>
      <c r="D705" t="inlineStr">
        <is>
          <t>Yes</t>
        </is>
      </c>
      <c r="E705">
        <f>VLOOKUP(C705,CategoryMap,2,0)</f>
        <v/>
      </c>
      <c r="F705">
        <f>VLOOKUP(D705,CategoryMap,2,0)</f>
        <v/>
      </c>
      <c r="G705">
        <f>ABS(E705-F705)</f>
        <v/>
      </c>
      <c r="H705">
        <f>IF(G705=0,"Yes","No")</f>
        <v/>
      </c>
      <c r="I705" t="inlineStr">
        <is>
          <t>No</t>
        </is>
      </c>
      <c r="J705">
        <f>IF(I705="","",IF(AND(I705=C705,I705=D705),"Both",IF(I705=C705,"Opus",IF(I705=D705,"Sonnet","Neither"))))</f>
        <v/>
      </c>
    </row>
    <row r="706">
      <c r="A706" t="inlineStr">
        <is>
          <t>R208</t>
        </is>
      </c>
      <c r="B706" t="inlineStr">
        <is>
          <t>Q1</t>
        </is>
      </c>
      <c r="C706" t="inlineStr">
        <is>
          <t>Partial</t>
        </is>
      </c>
      <c r="D706" t="inlineStr">
        <is>
          <t>Partial</t>
        </is>
      </c>
      <c r="E706">
        <f>VLOOKUP(C706,CategoryMap,2,0)</f>
        <v/>
      </c>
      <c r="F706">
        <f>VLOOKUP(D706,CategoryMap,2,0)</f>
        <v/>
      </c>
      <c r="G706">
        <f>ABS(E706-F706)</f>
        <v/>
      </c>
      <c r="H706">
        <f>IF(G706=0,"Yes","No")</f>
        <v/>
      </c>
      <c r="I706" t="inlineStr">
        <is>
          <t>Partial</t>
        </is>
      </c>
      <c r="J706">
        <f>IF(I706="","",IF(AND(I706=C706,I706=D706),"Both",IF(I706=C706,"Opus",IF(I706=D706,"Sonnet","Neither"))))</f>
        <v/>
      </c>
    </row>
    <row r="707">
      <c r="A707" t="inlineStr">
        <is>
          <t>R208</t>
        </is>
      </c>
      <c r="B707" t="inlineStr">
        <is>
          <t>Q2</t>
        </is>
      </c>
      <c r="C707" t="inlineStr">
        <is>
          <t>Yes</t>
        </is>
      </c>
      <c r="D707" t="inlineStr">
        <is>
          <t>Partial</t>
        </is>
      </c>
      <c r="E707">
        <f>VLOOKUP(C707,CategoryMap,2,0)</f>
        <v/>
      </c>
      <c r="F707">
        <f>VLOOKUP(D707,CategoryMap,2,0)</f>
        <v/>
      </c>
      <c r="G707">
        <f>ABS(E707-F707)</f>
        <v/>
      </c>
      <c r="H707">
        <f>IF(G707=0,"Yes","No")</f>
        <v/>
      </c>
      <c r="I707" t="inlineStr">
        <is>
          <t>Partial</t>
        </is>
      </c>
      <c r="J707">
        <f>IF(I707="","",IF(AND(I707=C707,I707=D707),"Both",IF(I707=C707,"Opus",IF(I707=D707,"Sonnet","Neither"))))</f>
        <v/>
      </c>
    </row>
    <row r="708">
      <c r="A708" t="inlineStr">
        <is>
          <t>R208</t>
        </is>
      </c>
      <c r="B708" t="inlineStr">
        <is>
          <t>Q3</t>
        </is>
      </c>
      <c r="C708" t="inlineStr">
        <is>
          <t>Yes</t>
        </is>
      </c>
      <c r="D708" t="inlineStr">
        <is>
          <t>Yes</t>
        </is>
      </c>
      <c r="E708">
        <f>VLOOKUP(C708,CategoryMap,2,0)</f>
        <v/>
      </c>
      <c r="F708">
        <f>VLOOKUP(D708,CategoryMap,2,0)</f>
        <v/>
      </c>
      <c r="G708">
        <f>ABS(E708-F708)</f>
        <v/>
      </c>
      <c r="H708">
        <f>IF(G708=0,"Yes","No")</f>
        <v/>
      </c>
      <c r="I708" t="inlineStr">
        <is>
          <t>Yes</t>
        </is>
      </c>
      <c r="J708">
        <f>IF(I708="","",IF(AND(I708=C708,I708=D708),"Both",IF(I708=C708,"Opus",IF(I708=D708,"Sonnet","Neither"))))</f>
        <v/>
      </c>
    </row>
    <row r="709">
      <c r="A709" t="inlineStr">
        <is>
          <t>R208</t>
        </is>
      </c>
      <c r="B709" t="inlineStr">
        <is>
          <t>Q4</t>
        </is>
      </c>
      <c r="C709" t="inlineStr">
        <is>
          <t>Partial</t>
        </is>
      </c>
      <c r="D709" t="inlineStr">
        <is>
          <t>Yes</t>
        </is>
      </c>
      <c r="E709">
        <f>VLOOKUP(C709,CategoryMap,2,0)</f>
        <v/>
      </c>
      <c r="F709">
        <f>VLOOKUP(D709,CategoryMap,2,0)</f>
        <v/>
      </c>
      <c r="G709">
        <f>ABS(E709-F709)</f>
        <v/>
      </c>
      <c r="H709">
        <f>IF(G709=0,"Yes","No")</f>
        <v/>
      </c>
      <c r="I709" t="inlineStr">
        <is>
          <t>Yes</t>
        </is>
      </c>
      <c r="J709">
        <f>IF(I709="","",IF(AND(I709=C709,I709=D709),"Both",IF(I709=C709,"Opus",IF(I709=D709,"Sonnet","Neither"))))</f>
        <v/>
      </c>
    </row>
    <row r="710">
      <c r="A710" t="inlineStr">
        <is>
          <t>R208</t>
        </is>
      </c>
      <c r="B710" t="inlineStr">
        <is>
          <t>Q5</t>
        </is>
      </c>
      <c r="C710" t="inlineStr">
        <is>
          <t>Partial</t>
        </is>
      </c>
      <c r="D710" t="inlineStr">
        <is>
          <t>Partial</t>
        </is>
      </c>
      <c r="E710">
        <f>VLOOKUP(C710,CategoryMap,2,0)</f>
        <v/>
      </c>
      <c r="F710">
        <f>VLOOKUP(D710,CategoryMap,2,0)</f>
        <v/>
      </c>
      <c r="G710">
        <f>ABS(E710-F710)</f>
        <v/>
      </c>
      <c r="H710">
        <f>IF(G710=0,"Yes","No")</f>
        <v/>
      </c>
      <c r="I710" t="inlineStr">
        <is>
          <t>Partial</t>
        </is>
      </c>
      <c r="J710">
        <f>IF(I710="","",IF(AND(I710=C710,I710=D710),"Both",IF(I710=C710,"Opus",IF(I710=D710,"Sonnet","Neither"))))</f>
        <v/>
      </c>
    </row>
    <row r="711">
      <c r="A711" t="inlineStr">
        <is>
          <t>R208</t>
        </is>
      </c>
      <c r="B711" t="inlineStr">
        <is>
          <t>Q6</t>
        </is>
      </c>
      <c r="C711" t="inlineStr">
        <is>
          <t>Partial</t>
        </is>
      </c>
      <c r="D711" t="inlineStr">
        <is>
          <t>Partial</t>
        </is>
      </c>
      <c r="E711">
        <f>VLOOKUP(C711,CategoryMap,2,0)</f>
        <v/>
      </c>
      <c r="F711">
        <f>VLOOKUP(D711,CategoryMap,2,0)</f>
        <v/>
      </c>
      <c r="G711">
        <f>ABS(E711-F711)</f>
        <v/>
      </c>
      <c r="H711">
        <f>IF(G711=0,"Yes","No")</f>
        <v/>
      </c>
      <c r="I711" t="inlineStr">
        <is>
          <t>Partial</t>
        </is>
      </c>
      <c r="J711">
        <f>IF(I711="","",IF(AND(I711=C711,I711=D711),"Both",IF(I711=C711,"Opus",IF(I711=D711,"Sonnet","Neither"))))</f>
        <v/>
      </c>
    </row>
    <row r="712">
      <c r="A712" t="inlineStr">
        <is>
          <t>R208</t>
        </is>
      </c>
      <c r="B712" t="inlineStr">
        <is>
          <t>Q7</t>
        </is>
      </c>
      <c r="C712" t="inlineStr">
        <is>
          <t>Yes</t>
        </is>
      </c>
      <c r="D712" t="inlineStr">
        <is>
          <t>Yes</t>
        </is>
      </c>
      <c r="E712">
        <f>VLOOKUP(C712,CategoryMap,2,0)</f>
        <v/>
      </c>
      <c r="F712">
        <f>VLOOKUP(D712,CategoryMap,2,0)</f>
        <v/>
      </c>
      <c r="G712">
        <f>ABS(E712-F712)</f>
        <v/>
      </c>
      <c r="H712">
        <f>IF(G712=0,"Yes","No")</f>
        <v/>
      </c>
      <c r="I712" t="inlineStr">
        <is>
          <t>Yes</t>
        </is>
      </c>
      <c r="J712">
        <f>IF(I712="","",IF(AND(I712=C712,I712=D712),"Both",IF(I712=C712,"Opus",IF(I712=D712,"Sonnet","Neither"))))</f>
        <v/>
      </c>
    </row>
    <row r="713">
      <c r="A713" t="inlineStr">
        <is>
          <t>R208</t>
        </is>
      </c>
      <c r="B713" t="inlineStr">
        <is>
          <t>Q8</t>
        </is>
      </c>
      <c r="C713" t="inlineStr">
        <is>
          <t>Partial</t>
        </is>
      </c>
      <c r="D713" t="inlineStr">
        <is>
          <t>Partial</t>
        </is>
      </c>
      <c r="E713">
        <f>VLOOKUP(C713,CategoryMap,2,0)</f>
        <v/>
      </c>
      <c r="F713">
        <f>VLOOKUP(D713,CategoryMap,2,0)</f>
        <v/>
      </c>
      <c r="G713">
        <f>ABS(E713-F713)</f>
        <v/>
      </c>
      <c r="H713">
        <f>IF(G713=0,"Yes","No")</f>
        <v/>
      </c>
      <c r="I713" t="inlineStr">
        <is>
          <t>Partial</t>
        </is>
      </c>
      <c r="J713">
        <f>IF(I713="","",IF(AND(I713=C713,I713=D713),"Both",IF(I713=C713,"Opus",IF(I713=D713,"Sonnet","Neither"))))</f>
        <v/>
      </c>
    </row>
    <row r="714">
      <c r="A714" t="inlineStr">
        <is>
          <t>R212</t>
        </is>
      </c>
      <c r="B714" t="inlineStr">
        <is>
          <t>Q1</t>
        </is>
      </c>
      <c r="C714" t="inlineStr">
        <is>
          <t>Partial</t>
        </is>
      </c>
      <c r="D714" t="inlineStr">
        <is>
          <t>No</t>
        </is>
      </c>
      <c r="E714">
        <f>VLOOKUP(C714,CategoryMap,2,0)</f>
        <v/>
      </c>
      <c r="F714">
        <f>VLOOKUP(D714,CategoryMap,2,0)</f>
        <v/>
      </c>
      <c r="G714">
        <f>ABS(E714-F714)</f>
        <v/>
      </c>
      <c r="H714">
        <f>IF(G714=0,"Yes","No")</f>
        <v/>
      </c>
      <c r="I714" t="inlineStr">
        <is>
          <t>No</t>
        </is>
      </c>
      <c r="J714">
        <f>IF(I714="","",IF(AND(I714=C714,I714=D714),"Both",IF(I714=C714,"Opus",IF(I714=D714,"Sonnet","Neither"))))</f>
        <v/>
      </c>
    </row>
    <row r="715">
      <c r="A715" t="inlineStr">
        <is>
          <t>R212</t>
        </is>
      </c>
      <c r="B715" t="inlineStr">
        <is>
          <t>Q2</t>
        </is>
      </c>
      <c r="C715" t="inlineStr">
        <is>
          <t>Partial</t>
        </is>
      </c>
      <c r="D715" t="inlineStr">
        <is>
          <t>No</t>
        </is>
      </c>
      <c r="E715">
        <f>VLOOKUP(C715,CategoryMap,2,0)</f>
        <v/>
      </c>
      <c r="F715">
        <f>VLOOKUP(D715,CategoryMap,2,0)</f>
        <v/>
      </c>
      <c r="G715">
        <f>ABS(E715-F715)</f>
        <v/>
      </c>
      <c r="H715">
        <f>IF(G715=0,"Yes","No")</f>
        <v/>
      </c>
      <c r="I715" t="inlineStr">
        <is>
          <t>No</t>
        </is>
      </c>
      <c r="J715">
        <f>IF(I715="","",IF(AND(I715=C715,I715=D715),"Both",IF(I715=C715,"Opus",IF(I715=D715,"Sonnet","Neither"))))</f>
        <v/>
      </c>
    </row>
    <row r="716">
      <c r="A716" t="inlineStr">
        <is>
          <t>R212</t>
        </is>
      </c>
      <c r="B716" t="inlineStr">
        <is>
          <t>Q3</t>
        </is>
      </c>
      <c r="C716" t="inlineStr">
        <is>
          <t>Partial</t>
        </is>
      </c>
      <c r="D716" t="inlineStr">
        <is>
          <t>No</t>
        </is>
      </c>
      <c r="E716">
        <f>VLOOKUP(C716,CategoryMap,2,0)</f>
        <v/>
      </c>
      <c r="F716">
        <f>VLOOKUP(D716,CategoryMap,2,0)</f>
        <v/>
      </c>
      <c r="G716">
        <f>ABS(E716-F716)</f>
        <v/>
      </c>
      <c r="H716">
        <f>IF(G716=0,"Yes","No")</f>
        <v/>
      </c>
      <c r="I716" t="inlineStr">
        <is>
          <t>No</t>
        </is>
      </c>
      <c r="J716">
        <f>IF(I716="","",IF(AND(I716=C716,I716=D716),"Both",IF(I716=C716,"Opus",IF(I716=D716,"Sonnet","Neither"))))</f>
        <v/>
      </c>
    </row>
    <row r="717">
      <c r="A717" t="inlineStr">
        <is>
          <t>R212</t>
        </is>
      </c>
      <c r="B717" t="inlineStr">
        <is>
          <t>Q4</t>
        </is>
      </c>
      <c r="C717" t="inlineStr">
        <is>
          <t>Partial</t>
        </is>
      </c>
      <c r="D717" t="inlineStr">
        <is>
          <t>Yes</t>
        </is>
      </c>
      <c r="E717">
        <f>VLOOKUP(C717,CategoryMap,2,0)</f>
        <v/>
      </c>
      <c r="F717">
        <f>VLOOKUP(D717,CategoryMap,2,0)</f>
        <v/>
      </c>
      <c r="G717">
        <f>ABS(E717-F717)</f>
        <v/>
      </c>
      <c r="H717">
        <f>IF(G717=0,"Yes","No")</f>
        <v/>
      </c>
      <c r="I717" t="inlineStr">
        <is>
          <t>Partial</t>
        </is>
      </c>
      <c r="J717">
        <f>IF(I717="","",IF(AND(I717=C717,I717=D717),"Both",IF(I717=C717,"Opus",IF(I717=D717,"Sonnet","Neither"))))</f>
        <v/>
      </c>
    </row>
    <row r="718">
      <c r="A718" t="inlineStr">
        <is>
          <t>R212</t>
        </is>
      </c>
      <c r="B718" t="inlineStr">
        <is>
          <t>Q5</t>
        </is>
      </c>
      <c r="C718" t="inlineStr">
        <is>
          <t>Yes</t>
        </is>
      </c>
      <c r="D718" t="inlineStr">
        <is>
          <t>Yes</t>
        </is>
      </c>
      <c r="E718">
        <f>VLOOKUP(C718,CategoryMap,2,0)</f>
        <v/>
      </c>
      <c r="F718">
        <f>VLOOKUP(D718,CategoryMap,2,0)</f>
        <v/>
      </c>
      <c r="G718">
        <f>ABS(E718-F718)</f>
        <v/>
      </c>
      <c r="H718">
        <f>IF(G718=0,"Yes","No")</f>
        <v/>
      </c>
      <c r="I718" t="inlineStr">
        <is>
          <t>Yes</t>
        </is>
      </c>
      <c r="J718">
        <f>IF(I718="","",IF(AND(I718=C718,I718=D718),"Both",IF(I718=C718,"Opus",IF(I718=D718,"Sonnet","Neither"))))</f>
        <v/>
      </c>
    </row>
    <row r="719">
      <c r="A719" t="inlineStr">
        <is>
          <t>R212</t>
        </is>
      </c>
      <c r="B719" t="inlineStr">
        <is>
          <t>Q6</t>
        </is>
      </c>
      <c r="C719" t="inlineStr">
        <is>
          <t>Yes</t>
        </is>
      </c>
      <c r="D719" t="inlineStr">
        <is>
          <t>Yes</t>
        </is>
      </c>
      <c r="E719">
        <f>VLOOKUP(C719,CategoryMap,2,0)</f>
        <v/>
      </c>
      <c r="F719">
        <f>VLOOKUP(D719,CategoryMap,2,0)</f>
        <v/>
      </c>
      <c r="G719">
        <f>ABS(E719-F719)</f>
        <v/>
      </c>
      <c r="H719">
        <f>IF(G719=0,"Yes","No")</f>
        <v/>
      </c>
      <c r="I719" t="inlineStr">
        <is>
          <t>Yes</t>
        </is>
      </c>
      <c r="J719">
        <f>IF(I719="","",IF(AND(I719=C719,I719=D719),"Both",IF(I719=C719,"Opus",IF(I719=D719,"Sonnet","Neither"))))</f>
        <v/>
      </c>
    </row>
    <row r="720">
      <c r="A720" t="inlineStr">
        <is>
          <t>R212</t>
        </is>
      </c>
      <c r="B720" t="inlineStr">
        <is>
          <t>Q7</t>
        </is>
      </c>
      <c r="C720" t="inlineStr">
        <is>
          <t>Yes</t>
        </is>
      </c>
      <c r="D720" t="inlineStr">
        <is>
          <t>Yes</t>
        </is>
      </c>
      <c r="E720">
        <f>VLOOKUP(C720,CategoryMap,2,0)</f>
        <v/>
      </c>
      <c r="F720">
        <f>VLOOKUP(D720,CategoryMap,2,0)</f>
        <v/>
      </c>
      <c r="G720">
        <f>ABS(E720-F720)</f>
        <v/>
      </c>
      <c r="H720">
        <f>IF(G720=0,"Yes","No")</f>
        <v/>
      </c>
      <c r="I720" t="inlineStr">
        <is>
          <t>Yes</t>
        </is>
      </c>
      <c r="J720">
        <f>IF(I720="","",IF(AND(I720=C720,I720=D720),"Both",IF(I720=C720,"Opus",IF(I720=D720,"Sonnet","Neither"))))</f>
        <v/>
      </c>
    </row>
    <row r="721">
      <c r="A721" t="inlineStr">
        <is>
          <t>R212</t>
        </is>
      </c>
      <c r="B721" t="inlineStr">
        <is>
          <t>Q8</t>
        </is>
      </c>
      <c r="C721" t="inlineStr">
        <is>
          <t>No</t>
        </is>
      </c>
      <c r="D721" t="inlineStr">
        <is>
          <t>No</t>
        </is>
      </c>
      <c r="E721">
        <f>VLOOKUP(C721,CategoryMap,2,0)</f>
        <v/>
      </c>
      <c r="F721">
        <f>VLOOKUP(D721,CategoryMap,2,0)</f>
        <v/>
      </c>
      <c r="G721">
        <f>ABS(E721-F721)</f>
        <v/>
      </c>
      <c r="H721">
        <f>IF(G721=0,"Yes","No")</f>
        <v/>
      </c>
      <c r="I721" t="inlineStr">
        <is>
          <t>No</t>
        </is>
      </c>
      <c r="J721">
        <f>IF(I721="","",IF(AND(I721=C721,I721=D721),"Both",IF(I721=C721,"Opus",IF(I721=D721,"Sonnet","Neither"))))</f>
        <v/>
      </c>
    </row>
    <row r="722">
      <c r="A722" t="inlineStr">
        <is>
          <t>R214</t>
        </is>
      </c>
      <c r="B722" t="inlineStr">
        <is>
          <t>Q1</t>
        </is>
      </c>
      <c r="C722" t="inlineStr">
        <is>
          <t>Partial</t>
        </is>
      </c>
      <c r="D722" t="inlineStr">
        <is>
          <t>Partial</t>
        </is>
      </c>
      <c r="E722">
        <f>VLOOKUP(C722,CategoryMap,2,0)</f>
        <v/>
      </c>
      <c r="F722">
        <f>VLOOKUP(D722,CategoryMap,2,0)</f>
        <v/>
      </c>
      <c r="G722">
        <f>ABS(E722-F722)</f>
        <v/>
      </c>
      <c r="H722">
        <f>IF(G722=0,"Yes","No")</f>
        <v/>
      </c>
      <c r="I722" t="inlineStr">
        <is>
          <t>Partial</t>
        </is>
      </c>
      <c r="J722">
        <f>IF(I722="","",IF(AND(I722=C722,I722=D722),"Both",IF(I722=C722,"Opus",IF(I722=D722,"Sonnet","Neither"))))</f>
        <v/>
      </c>
    </row>
    <row r="723">
      <c r="A723" t="inlineStr">
        <is>
          <t>R214</t>
        </is>
      </c>
      <c r="B723" t="inlineStr">
        <is>
          <t>Q2</t>
        </is>
      </c>
      <c r="C723" t="inlineStr">
        <is>
          <t>Partial</t>
        </is>
      </c>
      <c r="D723" t="inlineStr">
        <is>
          <t>Yes</t>
        </is>
      </c>
      <c r="E723">
        <f>VLOOKUP(C723,CategoryMap,2,0)</f>
        <v/>
      </c>
      <c r="F723">
        <f>VLOOKUP(D723,CategoryMap,2,0)</f>
        <v/>
      </c>
      <c r="G723">
        <f>ABS(E723-F723)</f>
        <v/>
      </c>
      <c r="H723">
        <f>IF(G723=0,"Yes","No")</f>
        <v/>
      </c>
      <c r="I723" t="inlineStr">
        <is>
          <t>Partial</t>
        </is>
      </c>
      <c r="J723">
        <f>IF(I723="","",IF(AND(I723=C723,I723=D723),"Both",IF(I723=C723,"Opus",IF(I723=D723,"Sonnet","Neither"))))</f>
        <v/>
      </c>
    </row>
    <row r="724">
      <c r="A724" t="inlineStr">
        <is>
          <t>R214</t>
        </is>
      </c>
      <c r="B724" t="inlineStr">
        <is>
          <t>Q3</t>
        </is>
      </c>
      <c r="C724" t="inlineStr">
        <is>
          <t>Yes</t>
        </is>
      </c>
      <c r="D724" t="inlineStr">
        <is>
          <t>Yes</t>
        </is>
      </c>
      <c r="E724">
        <f>VLOOKUP(C724,CategoryMap,2,0)</f>
        <v/>
      </c>
      <c r="F724">
        <f>VLOOKUP(D724,CategoryMap,2,0)</f>
        <v/>
      </c>
      <c r="G724">
        <f>ABS(E724-F724)</f>
        <v/>
      </c>
      <c r="H724">
        <f>IF(G724=0,"Yes","No")</f>
        <v/>
      </c>
      <c r="I724" t="inlineStr">
        <is>
          <t>Yes</t>
        </is>
      </c>
      <c r="J724">
        <f>IF(I724="","",IF(AND(I724=C724,I724=D724),"Both",IF(I724=C724,"Opus",IF(I724=D724,"Sonnet","Neither"))))</f>
        <v/>
      </c>
    </row>
    <row r="725">
      <c r="A725" t="inlineStr">
        <is>
          <t>R214</t>
        </is>
      </c>
      <c r="B725" t="inlineStr">
        <is>
          <t>Q4</t>
        </is>
      </c>
      <c r="C725" t="inlineStr">
        <is>
          <t>Partial</t>
        </is>
      </c>
      <c r="D725" t="inlineStr">
        <is>
          <t>Partial</t>
        </is>
      </c>
      <c r="E725">
        <f>VLOOKUP(C725,CategoryMap,2,0)</f>
        <v/>
      </c>
      <c r="F725">
        <f>VLOOKUP(D725,CategoryMap,2,0)</f>
        <v/>
      </c>
      <c r="G725">
        <f>ABS(E725-F725)</f>
        <v/>
      </c>
      <c r="H725">
        <f>IF(G725=0,"Yes","No")</f>
        <v/>
      </c>
      <c r="I725" t="inlineStr">
        <is>
          <t>Partial</t>
        </is>
      </c>
      <c r="J725">
        <f>IF(I725="","",IF(AND(I725=C725,I725=D725),"Both",IF(I725=C725,"Opus",IF(I725=D725,"Sonnet","Neither"))))</f>
        <v/>
      </c>
    </row>
    <row r="726">
      <c r="A726" t="inlineStr">
        <is>
          <t>R214</t>
        </is>
      </c>
      <c r="B726" t="inlineStr">
        <is>
          <t>Q5</t>
        </is>
      </c>
      <c r="C726" t="inlineStr">
        <is>
          <t>Partial</t>
        </is>
      </c>
      <c r="D726" t="inlineStr">
        <is>
          <t>Partial</t>
        </is>
      </c>
      <c r="E726">
        <f>VLOOKUP(C726,CategoryMap,2,0)</f>
        <v/>
      </c>
      <c r="F726">
        <f>VLOOKUP(D726,CategoryMap,2,0)</f>
        <v/>
      </c>
      <c r="G726">
        <f>ABS(E726-F726)</f>
        <v/>
      </c>
      <c r="H726">
        <f>IF(G726=0,"Yes","No")</f>
        <v/>
      </c>
      <c r="I726" t="inlineStr">
        <is>
          <t>Partial</t>
        </is>
      </c>
      <c r="J726">
        <f>IF(I726="","",IF(AND(I726=C726,I726=D726),"Both",IF(I726=C726,"Opus",IF(I726=D726,"Sonnet","Neither"))))</f>
        <v/>
      </c>
    </row>
    <row r="727">
      <c r="A727" t="inlineStr">
        <is>
          <t>R214</t>
        </is>
      </c>
      <c r="B727" t="inlineStr">
        <is>
          <t>Q6</t>
        </is>
      </c>
      <c r="C727" t="inlineStr">
        <is>
          <t>Partial</t>
        </is>
      </c>
      <c r="D727" t="inlineStr">
        <is>
          <t>Partial</t>
        </is>
      </c>
      <c r="E727">
        <f>VLOOKUP(C727,CategoryMap,2,0)</f>
        <v/>
      </c>
      <c r="F727">
        <f>VLOOKUP(D727,CategoryMap,2,0)</f>
        <v/>
      </c>
      <c r="G727">
        <f>ABS(E727-F727)</f>
        <v/>
      </c>
      <c r="H727">
        <f>IF(G727=0,"Yes","No")</f>
        <v/>
      </c>
      <c r="I727" t="inlineStr">
        <is>
          <t>Partial</t>
        </is>
      </c>
      <c r="J727">
        <f>IF(I727="","",IF(AND(I727=C727,I727=D727),"Both",IF(I727=C727,"Opus",IF(I727=D727,"Sonnet","Neither"))))</f>
        <v/>
      </c>
    </row>
    <row r="728">
      <c r="A728" t="inlineStr">
        <is>
          <t>R214</t>
        </is>
      </c>
      <c r="B728" t="inlineStr">
        <is>
          <t>Q7</t>
        </is>
      </c>
      <c r="C728" t="inlineStr">
        <is>
          <t>Yes</t>
        </is>
      </c>
      <c r="D728" t="inlineStr">
        <is>
          <t>Yes</t>
        </is>
      </c>
      <c r="E728">
        <f>VLOOKUP(C728,CategoryMap,2,0)</f>
        <v/>
      </c>
      <c r="F728">
        <f>VLOOKUP(D728,CategoryMap,2,0)</f>
        <v/>
      </c>
      <c r="G728">
        <f>ABS(E728-F728)</f>
        <v/>
      </c>
      <c r="H728">
        <f>IF(G728=0,"Yes","No")</f>
        <v/>
      </c>
      <c r="I728" t="inlineStr">
        <is>
          <t>Yes</t>
        </is>
      </c>
      <c r="J728">
        <f>IF(I728="","",IF(AND(I728=C728,I728=D728),"Both",IF(I728=C728,"Opus",IF(I728=D728,"Sonnet","Neither"))))</f>
        <v/>
      </c>
    </row>
    <row r="729">
      <c r="A729" t="inlineStr">
        <is>
          <t>R214</t>
        </is>
      </c>
      <c r="B729" t="inlineStr">
        <is>
          <t>Q8</t>
        </is>
      </c>
      <c r="C729" t="inlineStr">
        <is>
          <t>Partial</t>
        </is>
      </c>
      <c r="D729" t="inlineStr">
        <is>
          <t>Partial</t>
        </is>
      </c>
      <c r="E729">
        <f>VLOOKUP(C729,CategoryMap,2,0)</f>
        <v/>
      </c>
      <c r="F729">
        <f>VLOOKUP(D729,CategoryMap,2,0)</f>
        <v/>
      </c>
      <c r="G729">
        <f>ABS(E729-F729)</f>
        <v/>
      </c>
      <c r="H729">
        <f>IF(G729=0,"Yes","No")</f>
        <v/>
      </c>
      <c r="I729" t="inlineStr">
        <is>
          <t>Partial</t>
        </is>
      </c>
      <c r="J729">
        <f>IF(I729="","",IF(AND(I729=C729,I729=D729),"Both",IF(I729=C729,"Opus",IF(I729=D729,"Sonnet","Neither"))))</f>
        <v/>
      </c>
    </row>
    <row r="730">
      <c r="A730" t="inlineStr">
        <is>
          <t>R215</t>
        </is>
      </c>
      <c r="B730" t="inlineStr">
        <is>
          <t>Q1</t>
        </is>
      </c>
      <c r="C730" t="inlineStr">
        <is>
          <t>Partial</t>
        </is>
      </c>
      <c r="D730" t="inlineStr">
        <is>
          <t>No</t>
        </is>
      </c>
      <c r="E730">
        <f>VLOOKUP(C730,CategoryMap,2,0)</f>
        <v/>
      </c>
      <c r="F730">
        <f>VLOOKUP(D730,CategoryMap,2,0)</f>
        <v/>
      </c>
      <c r="G730">
        <f>ABS(E730-F730)</f>
        <v/>
      </c>
      <c r="H730">
        <f>IF(G730=0,"Yes","No")</f>
        <v/>
      </c>
      <c r="I730" t="inlineStr">
        <is>
          <t>Partial</t>
        </is>
      </c>
      <c r="J730">
        <f>IF(I730="","",IF(AND(I730=C730,I730=D730),"Both",IF(I730=C730,"Opus",IF(I730=D730,"Sonnet","Neither"))))</f>
        <v/>
      </c>
    </row>
    <row r="731">
      <c r="A731" t="inlineStr">
        <is>
          <t>R215</t>
        </is>
      </c>
      <c r="B731" t="inlineStr">
        <is>
          <t>Q2</t>
        </is>
      </c>
      <c r="C731" t="inlineStr">
        <is>
          <t>Partial</t>
        </is>
      </c>
      <c r="D731" t="inlineStr">
        <is>
          <t>Partial</t>
        </is>
      </c>
      <c r="E731">
        <f>VLOOKUP(C731,CategoryMap,2,0)</f>
        <v/>
      </c>
      <c r="F731">
        <f>VLOOKUP(D731,CategoryMap,2,0)</f>
        <v/>
      </c>
      <c r="G731">
        <f>ABS(E731-F731)</f>
        <v/>
      </c>
      <c r="H731">
        <f>IF(G731=0,"Yes","No")</f>
        <v/>
      </c>
      <c r="I731" t="inlineStr">
        <is>
          <t>Partial</t>
        </is>
      </c>
      <c r="J731">
        <f>IF(I731="","",IF(AND(I731=C731,I731=D731),"Both",IF(I731=C731,"Opus",IF(I731=D731,"Sonnet","Neither"))))</f>
        <v/>
      </c>
    </row>
    <row r="732">
      <c r="A732" t="inlineStr">
        <is>
          <t>R215</t>
        </is>
      </c>
      <c r="B732" t="inlineStr">
        <is>
          <t>Q3</t>
        </is>
      </c>
      <c r="C732" t="inlineStr">
        <is>
          <t>Partial</t>
        </is>
      </c>
      <c r="D732" t="inlineStr">
        <is>
          <t>No</t>
        </is>
      </c>
      <c r="E732">
        <f>VLOOKUP(C732,CategoryMap,2,0)</f>
        <v/>
      </c>
      <c r="F732">
        <f>VLOOKUP(D732,CategoryMap,2,0)</f>
        <v/>
      </c>
      <c r="G732">
        <f>ABS(E732-F732)</f>
        <v/>
      </c>
      <c r="H732">
        <f>IF(G732=0,"Yes","No")</f>
        <v/>
      </c>
      <c r="I732" t="inlineStr">
        <is>
          <t>Partial</t>
        </is>
      </c>
      <c r="J732">
        <f>IF(I732="","",IF(AND(I732=C732,I732=D732),"Both",IF(I732=C732,"Opus",IF(I732=D732,"Sonnet","Neither"))))</f>
        <v/>
      </c>
    </row>
    <row r="733">
      <c r="A733" t="inlineStr">
        <is>
          <t>R215</t>
        </is>
      </c>
      <c r="B733" t="inlineStr">
        <is>
          <t>Q4</t>
        </is>
      </c>
      <c r="C733" t="inlineStr">
        <is>
          <t>No</t>
        </is>
      </c>
      <c r="D733" t="inlineStr">
        <is>
          <t>No</t>
        </is>
      </c>
      <c r="E733">
        <f>VLOOKUP(C733,CategoryMap,2,0)</f>
        <v/>
      </c>
      <c r="F733">
        <f>VLOOKUP(D733,CategoryMap,2,0)</f>
        <v/>
      </c>
      <c r="G733">
        <f>ABS(E733-F733)</f>
        <v/>
      </c>
      <c r="H733">
        <f>IF(G733=0,"Yes","No")</f>
        <v/>
      </c>
      <c r="I733" t="inlineStr">
        <is>
          <t>No</t>
        </is>
      </c>
      <c r="J733">
        <f>IF(I733="","",IF(AND(I733=C733,I733=D733),"Both",IF(I733=C733,"Opus",IF(I733=D733,"Sonnet","Neither"))))</f>
        <v/>
      </c>
    </row>
    <row r="734">
      <c r="A734" t="inlineStr">
        <is>
          <t>R215</t>
        </is>
      </c>
      <c r="B734" t="inlineStr">
        <is>
          <t>Q5</t>
        </is>
      </c>
      <c r="C734" t="inlineStr">
        <is>
          <t>Partial</t>
        </is>
      </c>
      <c r="D734" t="inlineStr">
        <is>
          <t>Partial</t>
        </is>
      </c>
      <c r="E734">
        <f>VLOOKUP(C734,CategoryMap,2,0)</f>
        <v/>
      </c>
      <c r="F734">
        <f>VLOOKUP(D734,CategoryMap,2,0)</f>
        <v/>
      </c>
      <c r="G734">
        <f>ABS(E734-F734)</f>
        <v/>
      </c>
      <c r="H734">
        <f>IF(G734=0,"Yes","No")</f>
        <v/>
      </c>
      <c r="I734" t="inlineStr">
        <is>
          <t>Partial</t>
        </is>
      </c>
      <c r="J734">
        <f>IF(I734="","",IF(AND(I734=C734,I734=D734),"Both",IF(I734=C734,"Opus",IF(I734=D734,"Sonnet","Neither"))))</f>
        <v/>
      </c>
    </row>
    <row r="735">
      <c r="A735" t="inlineStr">
        <is>
          <t>R215</t>
        </is>
      </c>
      <c r="B735" t="inlineStr">
        <is>
          <t>Q6</t>
        </is>
      </c>
      <c r="C735" t="inlineStr">
        <is>
          <t>No</t>
        </is>
      </c>
      <c r="D735" t="inlineStr">
        <is>
          <t>No</t>
        </is>
      </c>
      <c r="E735">
        <f>VLOOKUP(C735,CategoryMap,2,0)</f>
        <v/>
      </c>
      <c r="F735">
        <f>VLOOKUP(D735,CategoryMap,2,0)</f>
        <v/>
      </c>
      <c r="G735">
        <f>ABS(E735-F735)</f>
        <v/>
      </c>
      <c r="H735">
        <f>IF(G735=0,"Yes","No")</f>
        <v/>
      </c>
      <c r="I735" t="inlineStr">
        <is>
          <t>No</t>
        </is>
      </c>
      <c r="J735">
        <f>IF(I735="","",IF(AND(I735=C735,I735=D735),"Both",IF(I735=C735,"Opus",IF(I735=D735,"Sonnet","Neither"))))</f>
        <v/>
      </c>
    </row>
    <row r="736">
      <c r="A736" t="inlineStr">
        <is>
          <t>R215</t>
        </is>
      </c>
      <c r="B736" t="inlineStr">
        <is>
          <t>Q7</t>
        </is>
      </c>
      <c r="C736" t="inlineStr">
        <is>
          <t>No</t>
        </is>
      </c>
      <c r="D736" t="inlineStr">
        <is>
          <t>No</t>
        </is>
      </c>
      <c r="E736">
        <f>VLOOKUP(C736,CategoryMap,2,0)</f>
        <v/>
      </c>
      <c r="F736">
        <f>VLOOKUP(D736,CategoryMap,2,0)</f>
        <v/>
      </c>
      <c r="G736">
        <f>ABS(E736-F736)</f>
        <v/>
      </c>
      <c r="H736">
        <f>IF(G736=0,"Yes","No")</f>
        <v/>
      </c>
      <c r="I736" t="inlineStr">
        <is>
          <t>No</t>
        </is>
      </c>
      <c r="J736">
        <f>IF(I736="","",IF(AND(I736=C736,I736=D736),"Both",IF(I736=C736,"Opus",IF(I736=D736,"Sonnet","Neither"))))</f>
        <v/>
      </c>
    </row>
    <row r="737">
      <c r="A737" t="inlineStr">
        <is>
          <t>R215</t>
        </is>
      </c>
      <c r="B737" t="inlineStr">
        <is>
          <t>Q8</t>
        </is>
      </c>
      <c r="C737" t="inlineStr">
        <is>
          <t>Partial</t>
        </is>
      </c>
      <c r="D737" t="inlineStr">
        <is>
          <t>No</t>
        </is>
      </c>
      <c r="E737">
        <f>VLOOKUP(C737,CategoryMap,2,0)</f>
        <v/>
      </c>
      <c r="F737">
        <f>VLOOKUP(D737,CategoryMap,2,0)</f>
        <v/>
      </c>
      <c r="G737">
        <f>ABS(E737-F737)</f>
        <v/>
      </c>
      <c r="H737">
        <f>IF(G737=0,"Yes","No")</f>
        <v/>
      </c>
      <c r="I737" t="inlineStr">
        <is>
          <t>Partial</t>
        </is>
      </c>
      <c r="J737">
        <f>IF(I737="","",IF(AND(I737=C737,I737=D737),"Both",IF(I737=C737,"Opus",IF(I737=D737,"Sonnet","Neither"))))</f>
        <v/>
      </c>
    </row>
    <row r="738">
      <c r="A738" t="inlineStr">
        <is>
          <t>R217</t>
        </is>
      </c>
      <c r="B738" t="inlineStr">
        <is>
          <t>Q1</t>
        </is>
      </c>
      <c r="C738" t="inlineStr">
        <is>
          <t>Yes</t>
        </is>
      </c>
      <c r="D738" t="inlineStr">
        <is>
          <t>Partial</t>
        </is>
      </c>
      <c r="E738">
        <f>VLOOKUP(C738,CategoryMap,2,0)</f>
        <v/>
      </c>
      <c r="F738">
        <f>VLOOKUP(D738,CategoryMap,2,0)</f>
        <v/>
      </c>
      <c r="G738">
        <f>ABS(E738-F738)</f>
        <v/>
      </c>
      <c r="H738">
        <f>IF(G738=0,"Yes","No")</f>
        <v/>
      </c>
      <c r="I738" t="inlineStr">
        <is>
          <t>Partial</t>
        </is>
      </c>
      <c r="J738">
        <f>IF(I738="","",IF(AND(I738=C738,I738=D738),"Both",IF(I738=C738,"Opus",IF(I738=D738,"Sonnet","Neither"))))</f>
        <v/>
      </c>
    </row>
    <row r="739">
      <c r="A739" t="inlineStr">
        <is>
          <t>R217</t>
        </is>
      </c>
      <c r="B739" t="inlineStr">
        <is>
          <t>Q2</t>
        </is>
      </c>
      <c r="C739" t="inlineStr">
        <is>
          <t>Yes</t>
        </is>
      </c>
      <c r="D739" t="inlineStr">
        <is>
          <t>Yes</t>
        </is>
      </c>
      <c r="E739">
        <f>VLOOKUP(C739,CategoryMap,2,0)</f>
        <v/>
      </c>
      <c r="F739">
        <f>VLOOKUP(D739,CategoryMap,2,0)</f>
        <v/>
      </c>
      <c r="G739">
        <f>ABS(E739-F739)</f>
        <v/>
      </c>
      <c r="H739">
        <f>IF(G739=0,"Yes","No")</f>
        <v/>
      </c>
      <c r="I739" t="inlineStr">
        <is>
          <t>Yes</t>
        </is>
      </c>
      <c r="J739">
        <f>IF(I739="","",IF(AND(I739=C739,I739=D739),"Both",IF(I739=C739,"Opus",IF(I739=D739,"Sonnet","Neither"))))</f>
        <v/>
      </c>
    </row>
    <row r="740">
      <c r="A740" t="inlineStr">
        <is>
          <t>R217</t>
        </is>
      </c>
      <c r="B740" t="inlineStr">
        <is>
          <t>Q3</t>
        </is>
      </c>
      <c r="C740" t="inlineStr">
        <is>
          <t>Yes</t>
        </is>
      </c>
      <c r="D740" t="inlineStr">
        <is>
          <t>Yes</t>
        </is>
      </c>
      <c r="E740">
        <f>VLOOKUP(C740,CategoryMap,2,0)</f>
        <v/>
      </c>
      <c r="F740">
        <f>VLOOKUP(D740,CategoryMap,2,0)</f>
        <v/>
      </c>
      <c r="G740">
        <f>ABS(E740-F740)</f>
        <v/>
      </c>
      <c r="H740">
        <f>IF(G740=0,"Yes","No")</f>
        <v/>
      </c>
      <c r="I740" t="inlineStr">
        <is>
          <t>Yes</t>
        </is>
      </c>
      <c r="J740">
        <f>IF(I740="","",IF(AND(I740=C740,I740=D740),"Both",IF(I740=C740,"Opus",IF(I740=D740,"Sonnet","Neither"))))</f>
        <v/>
      </c>
    </row>
    <row r="741">
      <c r="A741" t="inlineStr">
        <is>
          <t>R217</t>
        </is>
      </c>
      <c r="B741" t="inlineStr">
        <is>
          <t>Q4</t>
        </is>
      </c>
      <c r="C741" t="inlineStr">
        <is>
          <t>Partial</t>
        </is>
      </c>
      <c r="D741" t="inlineStr">
        <is>
          <t>Yes</t>
        </is>
      </c>
      <c r="E741">
        <f>VLOOKUP(C741,CategoryMap,2,0)</f>
        <v/>
      </c>
      <c r="F741">
        <f>VLOOKUP(D741,CategoryMap,2,0)</f>
        <v/>
      </c>
      <c r="G741">
        <f>ABS(E741-F741)</f>
        <v/>
      </c>
      <c r="H741">
        <f>IF(G741=0,"Yes","No")</f>
        <v/>
      </c>
      <c r="I741" t="inlineStr">
        <is>
          <t>Partial</t>
        </is>
      </c>
      <c r="J741">
        <f>IF(I741="","",IF(AND(I741=C741,I741=D741),"Both",IF(I741=C741,"Opus",IF(I741=D741,"Sonnet","Neither"))))</f>
        <v/>
      </c>
    </row>
    <row r="742">
      <c r="A742" t="inlineStr">
        <is>
          <t>R217</t>
        </is>
      </c>
      <c r="B742" t="inlineStr">
        <is>
          <t>Q5</t>
        </is>
      </c>
      <c r="C742" t="inlineStr">
        <is>
          <t>Yes</t>
        </is>
      </c>
      <c r="D742" t="inlineStr">
        <is>
          <t>Yes</t>
        </is>
      </c>
      <c r="E742">
        <f>VLOOKUP(C742,CategoryMap,2,0)</f>
        <v/>
      </c>
      <c r="F742">
        <f>VLOOKUP(D742,CategoryMap,2,0)</f>
        <v/>
      </c>
      <c r="G742">
        <f>ABS(E742-F742)</f>
        <v/>
      </c>
      <c r="H742">
        <f>IF(G742=0,"Yes","No")</f>
        <v/>
      </c>
      <c r="I742" t="inlineStr">
        <is>
          <t>Yes</t>
        </is>
      </c>
      <c r="J742">
        <f>IF(I742="","",IF(AND(I742=C742,I742=D742),"Both",IF(I742=C742,"Opus",IF(I742=D742,"Sonnet","Neither"))))</f>
        <v/>
      </c>
    </row>
    <row r="743">
      <c r="A743" t="inlineStr">
        <is>
          <t>R217</t>
        </is>
      </c>
      <c r="B743" t="inlineStr">
        <is>
          <t>Q6</t>
        </is>
      </c>
      <c r="C743" t="inlineStr">
        <is>
          <t>Yes</t>
        </is>
      </c>
      <c r="D743" t="inlineStr">
        <is>
          <t>Yes</t>
        </is>
      </c>
      <c r="E743">
        <f>VLOOKUP(C743,CategoryMap,2,0)</f>
        <v/>
      </c>
      <c r="F743">
        <f>VLOOKUP(D743,CategoryMap,2,0)</f>
        <v/>
      </c>
      <c r="G743">
        <f>ABS(E743-F743)</f>
        <v/>
      </c>
      <c r="H743">
        <f>IF(G743=0,"Yes","No")</f>
        <v/>
      </c>
      <c r="I743" t="inlineStr">
        <is>
          <t>Yes</t>
        </is>
      </c>
      <c r="J743">
        <f>IF(I743="","",IF(AND(I743=C743,I743=D743),"Both",IF(I743=C743,"Opus",IF(I743=D743,"Sonnet","Neither"))))</f>
        <v/>
      </c>
    </row>
    <row r="744">
      <c r="A744" t="inlineStr">
        <is>
          <t>R217</t>
        </is>
      </c>
      <c r="B744" t="inlineStr">
        <is>
          <t>Q7</t>
        </is>
      </c>
      <c r="C744" t="inlineStr">
        <is>
          <t>Yes</t>
        </is>
      </c>
      <c r="D744" t="inlineStr">
        <is>
          <t>Yes</t>
        </is>
      </c>
      <c r="E744">
        <f>VLOOKUP(C744,CategoryMap,2,0)</f>
        <v/>
      </c>
      <c r="F744">
        <f>VLOOKUP(D744,CategoryMap,2,0)</f>
        <v/>
      </c>
      <c r="G744">
        <f>ABS(E744-F744)</f>
        <v/>
      </c>
      <c r="H744">
        <f>IF(G744=0,"Yes","No")</f>
        <v/>
      </c>
      <c r="I744" t="inlineStr">
        <is>
          <t>Yes</t>
        </is>
      </c>
      <c r="J744">
        <f>IF(I744="","",IF(AND(I744=C744,I744=D744),"Both",IF(I744=C744,"Opus",IF(I744=D744,"Sonnet","Neither"))))</f>
        <v/>
      </c>
    </row>
    <row r="745">
      <c r="A745" t="inlineStr">
        <is>
          <t>R217</t>
        </is>
      </c>
      <c r="B745" t="inlineStr">
        <is>
          <t>Q8</t>
        </is>
      </c>
      <c r="C745" t="inlineStr">
        <is>
          <t>Partial</t>
        </is>
      </c>
      <c r="D745" t="inlineStr">
        <is>
          <t>Partial</t>
        </is>
      </c>
      <c r="E745">
        <f>VLOOKUP(C745,CategoryMap,2,0)</f>
        <v/>
      </c>
      <c r="F745">
        <f>VLOOKUP(D745,CategoryMap,2,0)</f>
        <v/>
      </c>
      <c r="G745">
        <f>ABS(E745-F745)</f>
        <v/>
      </c>
      <c r="H745">
        <f>IF(G745=0,"Yes","No")</f>
        <v/>
      </c>
      <c r="I745" t="inlineStr">
        <is>
          <t>No</t>
        </is>
      </c>
      <c r="J745">
        <f>IF(I745="","",IF(AND(I745=C745,I745=D745),"Both",IF(I745=C745,"Opus",IF(I745=D745,"Sonnet","Neither"))))</f>
        <v/>
      </c>
    </row>
    <row r="746">
      <c r="A746" t="inlineStr">
        <is>
          <t>R218</t>
        </is>
      </c>
      <c r="B746" t="inlineStr">
        <is>
          <t>Q1</t>
        </is>
      </c>
      <c r="C746" t="inlineStr">
        <is>
          <t>Partial</t>
        </is>
      </c>
      <c r="D746" t="inlineStr">
        <is>
          <t>No</t>
        </is>
      </c>
      <c r="E746">
        <f>VLOOKUP(C746,CategoryMap,2,0)</f>
        <v/>
      </c>
      <c r="F746">
        <f>VLOOKUP(D746,CategoryMap,2,0)</f>
        <v/>
      </c>
      <c r="G746">
        <f>ABS(E746-F746)</f>
        <v/>
      </c>
      <c r="H746">
        <f>IF(G746=0,"Yes","No")</f>
        <v/>
      </c>
      <c r="I746" t="inlineStr">
        <is>
          <t>No</t>
        </is>
      </c>
      <c r="J746">
        <f>IF(I746="","",IF(AND(I746=C746,I746=D746),"Both",IF(I746=C746,"Opus",IF(I746=D746,"Sonnet","Neither"))))</f>
        <v/>
      </c>
    </row>
    <row r="747">
      <c r="A747" t="inlineStr">
        <is>
          <t>R218</t>
        </is>
      </c>
      <c r="B747" t="inlineStr">
        <is>
          <t>Q2</t>
        </is>
      </c>
      <c r="C747" t="inlineStr">
        <is>
          <t>Partial</t>
        </is>
      </c>
      <c r="D747" t="inlineStr">
        <is>
          <t>Partial</t>
        </is>
      </c>
      <c r="E747">
        <f>VLOOKUP(C747,CategoryMap,2,0)</f>
        <v/>
      </c>
      <c r="F747">
        <f>VLOOKUP(D747,CategoryMap,2,0)</f>
        <v/>
      </c>
      <c r="G747">
        <f>ABS(E747-F747)</f>
        <v/>
      </c>
      <c r="H747">
        <f>IF(G747=0,"Yes","No")</f>
        <v/>
      </c>
      <c r="I747" t="inlineStr">
        <is>
          <t>Partial</t>
        </is>
      </c>
      <c r="J747">
        <f>IF(I747="","",IF(AND(I747=C747,I747=D747),"Both",IF(I747=C747,"Opus",IF(I747=D747,"Sonnet","Neither"))))</f>
        <v/>
      </c>
    </row>
    <row r="748">
      <c r="A748" t="inlineStr">
        <is>
          <t>R218</t>
        </is>
      </c>
      <c r="B748" t="inlineStr">
        <is>
          <t>Q3</t>
        </is>
      </c>
      <c r="C748" t="inlineStr">
        <is>
          <t>Partial</t>
        </is>
      </c>
      <c r="D748" t="inlineStr">
        <is>
          <t>No</t>
        </is>
      </c>
      <c r="E748">
        <f>VLOOKUP(C748,CategoryMap,2,0)</f>
        <v/>
      </c>
      <c r="F748">
        <f>VLOOKUP(D748,CategoryMap,2,0)</f>
        <v/>
      </c>
      <c r="G748">
        <f>ABS(E748-F748)</f>
        <v/>
      </c>
      <c r="H748">
        <f>IF(G748=0,"Yes","No")</f>
        <v/>
      </c>
      <c r="I748" t="inlineStr">
        <is>
          <t>No</t>
        </is>
      </c>
      <c r="J748">
        <f>IF(I748="","",IF(AND(I748=C748,I748=D748),"Both",IF(I748=C748,"Opus",IF(I748=D748,"Sonnet","Neither"))))</f>
        <v/>
      </c>
    </row>
    <row r="749">
      <c r="A749" t="inlineStr">
        <is>
          <t>R218</t>
        </is>
      </c>
      <c r="B749" t="inlineStr">
        <is>
          <t>Q4</t>
        </is>
      </c>
      <c r="C749" t="inlineStr">
        <is>
          <t>Partial</t>
        </is>
      </c>
      <c r="D749" t="inlineStr">
        <is>
          <t>Partial</t>
        </is>
      </c>
      <c r="E749">
        <f>VLOOKUP(C749,CategoryMap,2,0)</f>
        <v/>
      </c>
      <c r="F749">
        <f>VLOOKUP(D749,CategoryMap,2,0)</f>
        <v/>
      </c>
      <c r="G749">
        <f>ABS(E749-F749)</f>
        <v/>
      </c>
      <c r="H749">
        <f>IF(G749=0,"Yes","No")</f>
        <v/>
      </c>
      <c r="I749" t="inlineStr">
        <is>
          <t>Partial</t>
        </is>
      </c>
      <c r="J749">
        <f>IF(I749="","",IF(AND(I749=C749,I749=D749),"Both",IF(I749=C749,"Opus",IF(I749=D749,"Sonnet","Neither"))))</f>
        <v/>
      </c>
    </row>
    <row r="750">
      <c r="A750" t="inlineStr">
        <is>
          <t>R218</t>
        </is>
      </c>
      <c r="B750" t="inlineStr">
        <is>
          <t>Q5</t>
        </is>
      </c>
      <c r="C750" t="inlineStr">
        <is>
          <t>Yes</t>
        </is>
      </c>
      <c r="D750" t="inlineStr">
        <is>
          <t>Yes</t>
        </is>
      </c>
      <c r="E750">
        <f>VLOOKUP(C750,CategoryMap,2,0)</f>
        <v/>
      </c>
      <c r="F750">
        <f>VLOOKUP(D750,CategoryMap,2,0)</f>
        <v/>
      </c>
      <c r="G750">
        <f>ABS(E750-F750)</f>
        <v/>
      </c>
      <c r="H750">
        <f>IF(G750=0,"Yes","No")</f>
        <v/>
      </c>
      <c r="I750" t="inlineStr">
        <is>
          <t>Yes</t>
        </is>
      </c>
      <c r="J750">
        <f>IF(I750="","",IF(AND(I750=C750,I750=D750),"Both",IF(I750=C750,"Opus",IF(I750=D750,"Sonnet","Neither"))))</f>
        <v/>
      </c>
    </row>
    <row r="751">
      <c r="A751" t="inlineStr">
        <is>
          <t>R218</t>
        </is>
      </c>
      <c r="B751" t="inlineStr">
        <is>
          <t>Q6</t>
        </is>
      </c>
      <c r="C751" t="inlineStr">
        <is>
          <t>Yes</t>
        </is>
      </c>
      <c r="D751" t="inlineStr">
        <is>
          <t>Yes</t>
        </is>
      </c>
      <c r="E751">
        <f>VLOOKUP(C751,CategoryMap,2,0)</f>
        <v/>
      </c>
      <c r="F751">
        <f>VLOOKUP(D751,CategoryMap,2,0)</f>
        <v/>
      </c>
      <c r="G751">
        <f>ABS(E751-F751)</f>
        <v/>
      </c>
      <c r="H751">
        <f>IF(G751=0,"Yes","No")</f>
        <v/>
      </c>
      <c r="I751" t="inlineStr">
        <is>
          <t>Yes</t>
        </is>
      </c>
      <c r="J751">
        <f>IF(I751="","",IF(AND(I751=C751,I751=D751),"Both",IF(I751=C751,"Opus",IF(I751=D751,"Sonnet","Neither"))))</f>
        <v/>
      </c>
    </row>
    <row r="752">
      <c r="A752" t="inlineStr">
        <is>
          <t>R218</t>
        </is>
      </c>
      <c r="B752" t="inlineStr">
        <is>
          <t>Q7</t>
        </is>
      </c>
      <c r="C752" t="inlineStr">
        <is>
          <t>Yes</t>
        </is>
      </c>
      <c r="D752" t="inlineStr">
        <is>
          <t>Yes</t>
        </is>
      </c>
      <c r="E752">
        <f>VLOOKUP(C752,CategoryMap,2,0)</f>
        <v/>
      </c>
      <c r="F752">
        <f>VLOOKUP(D752,CategoryMap,2,0)</f>
        <v/>
      </c>
      <c r="G752">
        <f>ABS(E752-F752)</f>
        <v/>
      </c>
      <c r="H752">
        <f>IF(G752=0,"Yes","No")</f>
        <v/>
      </c>
      <c r="I752" t="inlineStr">
        <is>
          <t>Yes</t>
        </is>
      </c>
      <c r="J752">
        <f>IF(I752="","",IF(AND(I752=C752,I752=D752),"Both",IF(I752=C752,"Opus",IF(I752=D752,"Sonnet","Neither"))))</f>
        <v/>
      </c>
    </row>
    <row r="753">
      <c r="A753" t="inlineStr">
        <is>
          <t>R218</t>
        </is>
      </c>
      <c r="B753" t="inlineStr">
        <is>
          <t>Q8</t>
        </is>
      </c>
      <c r="C753" t="inlineStr">
        <is>
          <t>No</t>
        </is>
      </c>
      <c r="D753" t="inlineStr">
        <is>
          <t>No</t>
        </is>
      </c>
      <c r="E753">
        <f>VLOOKUP(C753,CategoryMap,2,0)</f>
        <v/>
      </c>
      <c r="F753">
        <f>VLOOKUP(D753,CategoryMap,2,0)</f>
        <v/>
      </c>
      <c r="G753">
        <f>ABS(E753-F753)</f>
        <v/>
      </c>
      <c r="H753">
        <f>IF(G753=0,"Yes","No")</f>
        <v/>
      </c>
      <c r="I753" t="inlineStr">
        <is>
          <t>No</t>
        </is>
      </c>
      <c r="J753">
        <f>IF(I753="","",IF(AND(I753=C753,I753=D753),"Both",IF(I753=C753,"Opus",IF(I753=D753,"Sonnet","Neither"))))</f>
        <v/>
      </c>
    </row>
    <row r="754">
      <c r="A754" t="inlineStr">
        <is>
          <t>R219</t>
        </is>
      </c>
      <c r="B754" t="inlineStr">
        <is>
          <t>Q1</t>
        </is>
      </c>
      <c r="C754" t="inlineStr">
        <is>
          <t>No</t>
        </is>
      </c>
      <c r="D754" t="inlineStr">
        <is>
          <t>No</t>
        </is>
      </c>
      <c r="E754">
        <f>VLOOKUP(C754,CategoryMap,2,0)</f>
        <v/>
      </c>
      <c r="F754">
        <f>VLOOKUP(D754,CategoryMap,2,0)</f>
        <v/>
      </c>
      <c r="G754">
        <f>ABS(E754-F754)</f>
        <v/>
      </c>
      <c r="H754">
        <f>IF(G754=0,"Yes","No")</f>
        <v/>
      </c>
      <c r="I754" t="inlineStr">
        <is>
          <t>No</t>
        </is>
      </c>
      <c r="J754">
        <f>IF(I754="","",IF(AND(I754=C754,I754=D754),"Both",IF(I754=C754,"Opus",IF(I754=D754,"Sonnet","Neither"))))</f>
        <v/>
      </c>
    </row>
    <row r="755">
      <c r="A755" t="inlineStr">
        <is>
          <t>R219</t>
        </is>
      </c>
      <c r="B755" t="inlineStr">
        <is>
          <t>Q2</t>
        </is>
      </c>
      <c r="C755" t="inlineStr">
        <is>
          <t>Partial</t>
        </is>
      </c>
      <c r="D755" t="inlineStr">
        <is>
          <t>Yes</t>
        </is>
      </c>
      <c r="E755">
        <f>VLOOKUP(C755,CategoryMap,2,0)</f>
        <v/>
      </c>
      <c r="F755">
        <f>VLOOKUP(D755,CategoryMap,2,0)</f>
        <v/>
      </c>
      <c r="G755">
        <f>ABS(E755-F755)</f>
        <v/>
      </c>
      <c r="H755">
        <f>IF(G755=0,"Yes","No")</f>
        <v/>
      </c>
      <c r="I755" t="inlineStr">
        <is>
          <t>Partial</t>
        </is>
      </c>
      <c r="J755">
        <f>IF(I755="","",IF(AND(I755=C755,I755=D755),"Both",IF(I755=C755,"Opus",IF(I755=D755,"Sonnet","Neither"))))</f>
        <v/>
      </c>
    </row>
    <row r="756">
      <c r="A756" t="inlineStr">
        <is>
          <t>R219</t>
        </is>
      </c>
      <c r="B756" t="inlineStr">
        <is>
          <t>Q3</t>
        </is>
      </c>
      <c r="C756" t="inlineStr">
        <is>
          <t>Partial</t>
        </is>
      </c>
      <c r="D756" t="inlineStr">
        <is>
          <t>No</t>
        </is>
      </c>
      <c r="E756">
        <f>VLOOKUP(C756,CategoryMap,2,0)</f>
        <v/>
      </c>
      <c r="F756">
        <f>VLOOKUP(D756,CategoryMap,2,0)</f>
        <v/>
      </c>
      <c r="G756">
        <f>ABS(E756-F756)</f>
        <v/>
      </c>
      <c r="H756">
        <f>IF(G756=0,"Yes","No")</f>
        <v/>
      </c>
      <c r="I756" t="inlineStr">
        <is>
          <t>Partial</t>
        </is>
      </c>
      <c r="J756">
        <f>IF(I756="","",IF(AND(I756=C756,I756=D756),"Both",IF(I756=C756,"Opus",IF(I756=D756,"Sonnet","Neither"))))</f>
        <v/>
      </c>
    </row>
    <row r="757">
      <c r="A757" t="inlineStr">
        <is>
          <t>R219</t>
        </is>
      </c>
      <c r="B757" t="inlineStr">
        <is>
          <t>Q4</t>
        </is>
      </c>
      <c r="C757" t="inlineStr">
        <is>
          <t>Partial</t>
        </is>
      </c>
      <c r="D757" t="inlineStr">
        <is>
          <t>Yes</t>
        </is>
      </c>
      <c r="E757">
        <f>VLOOKUP(C757,CategoryMap,2,0)</f>
        <v/>
      </c>
      <c r="F757">
        <f>VLOOKUP(D757,CategoryMap,2,0)</f>
        <v/>
      </c>
      <c r="G757">
        <f>ABS(E757-F757)</f>
        <v/>
      </c>
      <c r="H757">
        <f>IF(G757=0,"Yes","No")</f>
        <v/>
      </c>
      <c r="I757" t="inlineStr">
        <is>
          <t>Partial</t>
        </is>
      </c>
      <c r="J757">
        <f>IF(I757="","",IF(AND(I757=C757,I757=D757),"Both",IF(I757=C757,"Opus",IF(I757=D757,"Sonnet","Neither"))))</f>
        <v/>
      </c>
    </row>
    <row r="758">
      <c r="A758" t="inlineStr">
        <is>
          <t>R219</t>
        </is>
      </c>
      <c r="B758" t="inlineStr">
        <is>
          <t>Q5</t>
        </is>
      </c>
      <c r="C758" t="inlineStr">
        <is>
          <t>Yes</t>
        </is>
      </c>
      <c r="D758" t="inlineStr">
        <is>
          <t>Yes</t>
        </is>
      </c>
      <c r="E758">
        <f>VLOOKUP(C758,CategoryMap,2,0)</f>
        <v/>
      </c>
      <c r="F758">
        <f>VLOOKUP(D758,CategoryMap,2,0)</f>
        <v/>
      </c>
      <c r="G758">
        <f>ABS(E758-F758)</f>
        <v/>
      </c>
      <c r="H758">
        <f>IF(G758=0,"Yes","No")</f>
        <v/>
      </c>
      <c r="I758" t="inlineStr">
        <is>
          <t>Yes</t>
        </is>
      </c>
      <c r="J758">
        <f>IF(I758="","",IF(AND(I758=C758,I758=D758),"Both",IF(I758=C758,"Opus",IF(I758=D758,"Sonnet","Neither"))))</f>
        <v/>
      </c>
    </row>
    <row r="759">
      <c r="A759" t="inlineStr">
        <is>
          <t>R219</t>
        </is>
      </c>
      <c r="B759" t="inlineStr">
        <is>
          <t>Q6</t>
        </is>
      </c>
      <c r="C759" t="inlineStr">
        <is>
          <t>Yes</t>
        </is>
      </c>
      <c r="D759" t="inlineStr">
        <is>
          <t>Yes</t>
        </is>
      </c>
      <c r="E759">
        <f>VLOOKUP(C759,CategoryMap,2,0)</f>
        <v/>
      </c>
      <c r="F759">
        <f>VLOOKUP(D759,CategoryMap,2,0)</f>
        <v/>
      </c>
      <c r="G759">
        <f>ABS(E759-F759)</f>
        <v/>
      </c>
      <c r="H759">
        <f>IF(G759=0,"Yes","No")</f>
        <v/>
      </c>
      <c r="I759" t="inlineStr">
        <is>
          <t>Yes</t>
        </is>
      </c>
      <c r="J759">
        <f>IF(I759="","",IF(AND(I759=C759,I759=D759),"Both",IF(I759=C759,"Opus",IF(I759=D759,"Sonnet","Neither"))))</f>
        <v/>
      </c>
    </row>
    <row r="760">
      <c r="A760" t="inlineStr">
        <is>
          <t>R219</t>
        </is>
      </c>
      <c r="B760" t="inlineStr">
        <is>
          <t>Q7</t>
        </is>
      </c>
      <c r="C760" t="inlineStr">
        <is>
          <t>Yes</t>
        </is>
      </c>
      <c r="D760" t="inlineStr">
        <is>
          <t>Yes</t>
        </is>
      </c>
      <c r="E760">
        <f>VLOOKUP(C760,CategoryMap,2,0)</f>
        <v/>
      </c>
      <c r="F760">
        <f>VLOOKUP(D760,CategoryMap,2,0)</f>
        <v/>
      </c>
      <c r="G760">
        <f>ABS(E760-F760)</f>
        <v/>
      </c>
      <c r="H760">
        <f>IF(G760=0,"Yes","No")</f>
        <v/>
      </c>
      <c r="I760" t="inlineStr">
        <is>
          <t>Yes</t>
        </is>
      </c>
      <c r="J760">
        <f>IF(I760="","",IF(AND(I760=C760,I760=D760),"Both",IF(I760=C760,"Opus",IF(I760=D760,"Sonnet","Neither"))))</f>
        <v/>
      </c>
    </row>
    <row r="761">
      <c r="A761" t="inlineStr">
        <is>
          <t>R219</t>
        </is>
      </c>
      <c r="B761" t="inlineStr">
        <is>
          <t>Q8</t>
        </is>
      </c>
      <c r="C761" t="inlineStr">
        <is>
          <t>No</t>
        </is>
      </c>
      <c r="D761" t="inlineStr">
        <is>
          <t>No</t>
        </is>
      </c>
      <c r="E761">
        <f>VLOOKUP(C761,CategoryMap,2,0)</f>
        <v/>
      </c>
      <c r="F761">
        <f>VLOOKUP(D761,CategoryMap,2,0)</f>
        <v/>
      </c>
      <c r="G761">
        <f>ABS(E761-F761)</f>
        <v/>
      </c>
      <c r="H761">
        <f>IF(G761=0,"Yes","No")</f>
        <v/>
      </c>
      <c r="I761" t="inlineStr">
        <is>
          <t>No</t>
        </is>
      </c>
      <c r="J761">
        <f>IF(I761="","",IF(AND(I761=C761,I761=D761),"Both",IF(I761=C761,"Opus",IF(I761=D761,"Sonnet","Neither"))))</f>
        <v/>
      </c>
    </row>
    <row r="762">
      <c r="A762" t="inlineStr">
        <is>
          <t>R221</t>
        </is>
      </c>
      <c r="B762" t="inlineStr">
        <is>
          <t>Q1</t>
        </is>
      </c>
      <c r="C762" t="inlineStr">
        <is>
          <t>No</t>
        </is>
      </c>
      <c r="D762" t="inlineStr">
        <is>
          <t>No</t>
        </is>
      </c>
      <c r="E762">
        <f>VLOOKUP(C762,CategoryMap,2,0)</f>
        <v/>
      </c>
      <c r="F762">
        <f>VLOOKUP(D762,CategoryMap,2,0)</f>
        <v/>
      </c>
      <c r="G762">
        <f>ABS(E762-F762)</f>
        <v/>
      </c>
      <c r="H762">
        <f>IF(G762=0,"Yes","No")</f>
        <v/>
      </c>
      <c r="I762" t="inlineStr">
        <is>
          <t>No</t>
        </is>
      </c>
      <c r="J762">
        <f>IF(I762="","",IF(AND(I762=C762,I762=D762),"Both",IF(I762=C762,"Opus",IF(I762=D762,"Sonnet","Neither"))))</f>
        <v/>
      </c>
    </row>
    <row r="763">
      <c r="A763" t="inlineStr">
        <is>
          <t>R221</t>
        </is>
      </c>
      <c r="B763" t="inlineStr">
        <is>
          <t>Q2</t>
        </is>
      </c>
      <c r="C763" t="inlineStr">
        <is>
          <t>Partial</t>
        </is>
      </c>
      <c r="D763" t="inlineStr">
        <is>
          <t>Partial</t>
        </is>
      </c>
      <c r="E763">
        <f>VLOOKUP(C763,CategoryMap,2,0)</f>
        <v/>
      </c>
      <c r="F763">
        <f>VLOOKUP(D763,CategoryMap,2,0)</f>
        <v/>
      </c>
      <c r="G763">
        <f>ABS(E763-F763)</f>
        <v/>
      </c>
      <c r="H763">
        <f>IF(G763=0,"Yes","No")</f>
        <v/>
      </c>
      <c r="I763" t="inlineStr">
        <is>
          <t>Partial</t>
        </is>
      </c>
      <c r="J763">
        <f>IF(I763="","",IF(AND(I763=C763,I763=D763),"Both",IF(I763=C763,"Opus",IF(I763=D763,"Sonnet","Neither"))))</f>
        <v/>
      </c>
    </row>
    <row r="764">
      <c r="A764" t="inlineStr">
        <is>
          <t>R221</t>
        </is>
      </c>
      <c r="B764" t="inlineStr">
        <is>
          <t>Q3</t>
        </is>
      </c>
      <c r="C764" t="inlineStr">
        <is>
          <t>Yes</t>
        </is>
      </c>
      <c r="D764" t="inlineStr">
        <is>
          <t>No</t>
        </is>
      </c>
      <c r="E764">
        <f>VLOOKUP(C764,CategoryMap,2,0)</f>
        <v/>
      </c>
      <c r="F764">
        <f>VLOOKUP(D764,CategoryMap,2,0)</f>
        <v/>
      </c>
      <c r="G764">
        <f>ABS(E764-F764)</f>
        <v/>
      </c>
      <c r="H764">
        <f>IF(G764=0,"Yes","No")</f>
        <v/>
      </c>
      <c r="I764" t="inlineStr">
        <is>
          <t>Partial</t>
        </is>
      </c>
      <c r="J764">
        <f>IF(I764="","",IF(AND(I764=C764,I764=D764),"Both",IF(I764=C764,"Opus",IF(I764=D764,"Sonnet","Neither"))))</f>
        <v/>
      </c>
    </row>
    <row r="765">
      <c r="A765" t="inlineStr">
        <is>
          <t>R221</t>
        </is>
      </c>
      <c r="B765" t="inlineStr">
        <is>
          <t>Q4</t>
        </is>
      </c>
      <c r="C765" t="inlineStr">
        <is>
          <t>Partial</t>
        </is>
      </c>
      <c r="D765" t="inlineStr">
        <is>
          <t>Partial</t>
        </is>
      </c>
      <c r="E765">
        <f>VLOOKUP(C765,CategoryMap,2,0)</f>
        <v/>
      </c>
      <c r="F765">
        <f>VLOOKUP(D765,CategoryMap,2,0)</f>
        <v/>
      </c>
      <c r="G765">
        <f>ABS(E765-F765)</f>
        <v/>
      </c>
      <c r="H765">
        <f>IF(G765=0,"Yes","No")</f>
        <v/>
      </c>
      <c r="I765" t="inlineStr">
        <is>
          <t>Partial</t>
        </is>
      </c>
      <c r="J765">
        <f>IF(I765="","",IF(AND(I765=C765,I765=D765),"Both",IF(I765=C765,"Opus",IF(I765=D765,"Sonnet","Neither"))))</f>
        <v/>
      </c>
    </row>
    <row r="766">
      <c r="A766" t="inlineStr">
        <is>
          <t>R221</t>
        </is>
      </c>
      <c r="B766" t="inlineStr">
        <is>
          <t>Q5</t>
        </is>
      </c>
      <c r="C766" t="inlineStr">
        <is>
          <t>No</t>
        </is>
      </c>
      <c r="D766" t="inlineStr">
        <is>
          <t>No</t>
        </is>
      </c>
      <c r="E766">
        <f>VLOOKUP(C766,CategoryMap,2,0)</f>
        <v/>
      </c>
      <c r="F766">
        <f>VLOOKUP(D766,CategoryMap,2,0)</f>
        <v/>
      </c>
      <c r="G766">
        <f>ABS(E766-F766)</f>
        <v/>
      </c>
      <c r="H766">
        <f>IF(G766=0,"Yes","No")</f>
        <v/>
      </c>
      <c r="I766" t="inlineStr">
        <is>
          <t>No</t>
        </is>
      </c>
      <c r="J766">
        <f>IF(I766="","",IF(AND(I766=C766,I766=D766),"Both",IF(I766=C766,"Opus",IF(I766=D766,"Sonnet","Neither"))))</f>
        <v/>
      </c>
    </row>
    <row r="767">
      <c r="A767" t="inlineStr">
        <is>
          <t>R221</t>
        </is>
      </c>
      <c r="B767" t="inlineStr">
        <is>
          <t>Q6</t>
        </is>
      </c>
      <c r="C767" t="inlineStr">
        <is>
          <t>No</t>
        </is>
      </c>
      <c r="D767" t="inlineStr">
        <is>
          <t>No</t>
        </is>
      </c>
      <c r="E767">
        <f>VLOOKUP(C767,CategoryMap,2,0)</f>
        <v/>
      </c>
      <c r="F767">
        <f>VLOOKUP(D767,CategoryMap,2,0)</f>
        <v/>
      </c>
      <c r="G767">
        <f>ABS(E767-F767)</f>
        <v/>
      </c>
      <c r="H767">
        <f>IF(G767=0,"Yes","No")</f>
        <v/>
      </c>
      <c r="I767" t="inlineStr">
        <is>
          <t>No</t>
        </is>
      </c>
      <c r="J767">
        <f>IF(I767="","",IF(AND(I767=C767,I767=D767),"Both",IF(I767=C767,"Opus",IF(I767=D767,"Sonnet","Neither"))))</f>
        <v/>
      </c>
    </row>
    <row r="768">
      <c r="A768" t="inlineStr">
        <is>
          <t>R221</t>
        </is>
      </c>
      <c r="B768" t="inlineStr">
        <is>
          <t>Q7</t>
        </is>
      </c>
      <c r="C768" t="inlineStr">
        <is>
          <t>No</t>
        </is>
      </c>
      <c r="D768" t="inlineStr">
        <is>
          <t>No</t>
        </is>
      </c>
      <c r="E768">
        <f>VLOOKUP(C768,CategoryMap,2,0)</f>
        <v/>
      </c>
      <c r="F768">
        <f>VLOOKUP(D768,CategoryMap,2,0)</f>
        <v/>
      </c>
      <c r="G768">
        <f>ABS(E768-F768)</f>
        <v/>
      </c>
      <c r="H768">
        <f>IF(G768=0,"Yes","No")</f>
        <v/>
      </c>
      <c r="I768" t="inlineStr">
        <is>
          <t>No</t>
        </is>
      </c>
      <c r="J768">
        <f>IF(I768="","",IF(AND(I768=C768,I768=D768),"Both",IF(I768=C768,"Opus",IF(I768=D768,"Sonnet","Neither"))))</f>
        <v/>
      </c>
    </row>
    <row r="769">
      <c r="A769" t="inlineStr">
        <is>
          <t>R221</t>
        </is>
      </c>
      <c r="B769" t="inlineStr">
        <is>
          <t>Q8</t>
        </is>
      </c>
      <c r="C769" t="inlineStr">
        <is>
          <t>Partial</t>
        </is>
      </c>
      <c r="D769" t="inlineStr">
        <is>
          <t>No</t>
        </is>
      </c>
      <c r="E769">
        <f>VLOOKUP(C769,CategoryMap,2,0)</f>
        <v/>
      </c>
      <c r="F769">
        <f>VLOOKUP(D769,CategoryMap,2,0)</f>
        <v/>
      </c>
      <c r="G769">
        <f>ABS(E769-F769)</f>
        <v/>
      </c>
      <c r="H769">
        <f>IF(G769=0,"Yes","No")</f>
        <v/>
      </c>
      <c r="I769" t="inlineStr">
        <is>
          <t>Partial</t>
        </is>
      </c>
      <c r="J769">
        <f>IF(I769="","",IF(AND(I769=C769,I769=D769),"Both",IF(I769=C769,"Opus",IF(I769=D769,"Sonnet","Neither"))))</f>
        <v/>
      </c>
    </row>
    <row r="770">
      <c r="A770" t="inlineStr">
        <is>
          <t>R222</t>
        </is>
      </c>
      <c r="B770" t="inlineStr">
        <is>
          <t>Q1</t>
        </is>
      </c>
      <c r="C770" t="inlineStr">
        <is>
          <t>Partial</t>
        </is>
      </c>
      <c r="D770" t="inlineStr">
        <is>
          <t>No</t>
        </is>
      </c>
      <c r="E770">
        <f>VLOOKUP(C770,CategoryMap,2,0)</f>
        <v/>
      </c>
      <c r="F770">
        <f>VLOOKUP(D770,CategoryMap,2,0)</f>
        <v/>
      </c>
      <c r="G770">
        <f>ABS(E770-F770)</f>
        <v/>
      </c>
      <c r="H770">
        <f>IF(G770=0,"Yes","No")</f>
        <v/>
      </c>
      <c r="I770" t="inlineStr">
        <is>
          <t>Partial</t>
        </is>
      </c>
      <c r="J770">
        <f>IF(I770="","",IF(AND(I770=C770,I770=D770),"Both",IF(I770=C770,"Opus",IF(I770=D770,"Sonnet","Neither"))))</f>
        <v/>
      </c>
    </row>
    <row r="771">
      <c r="A771" t="inlineStr">
        <is>
          <t>R222</t>
        </is>
      </c>
      <c r="B771" t="inlineStr">
        <is>
          <t>Q2</t>
        </is>
      </c>
      <c r="C771" t="inlineStr">
        <is>
          <t>Partial</t>
        </is>
      </c>
      <c r="D771" t="inlineStr">
        <is>
          <t>Partial</t>
        </is>
      </c>
      <c r="E771">
        <f>VLOOKUP(C771,CategoryMap,2,0)</f>
        <v/>
      </c>
      <c r="F771">
        <f>VLOOKUP(D771,CategoryMap,2,0)</f>
        <v/>
      </c>
      <c r="G771">
        <f>ABS(E771-F771)</f>
        <v/>
      </c>
      <c r="H771">
        <f>IF(G771=0,"Yes","No")</f>
        <v/>
      </c>
      <c r="I771" t="inlineStr">
        <is>
          <t>Partial</t>
        </is>
      </c>
      <c r="J771">
        <f>IF(I771="","",IF(AND(I771=C771,I771=D771),"Both",IF(I771=C771,"Opus",IF(I771=D771,"Sonnet","Neither"))))</f>
        <v/>
      </c>
    </row>
    <row r="772">
      <c r="A772" t="inlineStr">
        <is>
          <t>R222</t>
        </is>
      </c>
      <c r="B772" t="inlineStr">
        <is>
          <t>Q3</t>
        </is>
      </c>
      <c r="C772" t="inlineStr">
        <is>
          <t>Yes</t>
        </is>
      </c>
      <c r="D772" t="inlineStr">
        <is>
          <t>No</t>
        </is>
      </c>
      <c r="E772">
        <f>VLOOKUP(C772,CategoryMap,2,0)</f>
        <v/>
      </c>
      <c r="F772">
        <f>VLOOKUP(D772,CategoryMap,2,0)</f>
        <v/>
      </c>
      <c r="G772">
        <f>ABS(E772-F772)</f>
        <v/>
      </c>
      <c r="H772">
        <f>IF(G772=0,"Yes","No")</f>
        <v/>
      </c>
      <c r="I772" t="inlineStr">
        <is>
          <t>No</t>
        </is>
      </c>
      <c r="J772">
        <f>IF(I772="","",IF(AND(I772=C772,I772=D772),"Both",IF(I772=C772,"Opus",IF(I772=D772,"Sonnet","Neither"))))</f>
        <v/>
      </c>
    </row>
    <row r="773">
      <c r="A773" t="inlineStr">
        <is>
          <t>R222</t>
        </is>
      </c>
      <c r="B773" t="inlineStr">
        <is>
          <t>Q4</t>
        </is>
      </c>
      <c r="C773" t="inlineStr">
        <is>
          <t>No</t>
        </is>
      </c>
      <c r="D773" t="inlineStr">
        <is>
          <t>No</t>
        </is>
      </c>
      <c r="E773">
        <f>VLOOKUP(C773,CategoryMap,2,0)</f>
        <v/>
      </c>
      <c r="F773">
        <f>VLOOKUP(D773,CategoryMap,2,0)</f>
        <v/>
      </c>
      <c r="G773">
        <f>ABS(E773-F773)</f>
        <v/>
      </c>
      <c r="H773">
        <f>IF(G773=0,"Yes","No")</f>
        <v/>
      </c>
      <c r="I773" t="inlineStr">
        <is>
          <t>No</t>
        </is>
      </c>
      <c r="J773">
        <f>IF(I773="","",IF(AND(I773=C773,I773=D773),"Both",IF(I773=C773,"Opus",IF(I773=D773,"Sonnet","Neither"))))</f>
        <v/>
      </c>
    </row>
    <row r="774">
      <c r="A774" t="inlineStr">
        <is>
          <t>R222</t>
        </is>
      </c>
      <c r="B774" t="inlineStr">
        <is>
          <t>Q5</t>
        </is>
      </c>
      <c r="C774" t="inlineStr">
        <is>
          <t>Partial</t>
        </is>
      </c>
      <c r="D774" t="inlineStr">
        <is>
          <t>Yes</t>
        </is>
      </c>
      <c r="E774">
        <f>VLOOKUP(C774,CategoryMap,2,0)</f>
        <v/>
      </c>
      <c r="F774">
        <f>VLOOKUP(D774,CategoryMap,2,0)</f>
        <v/>
      </c>
      <c r="G774">
        <f>ABS(E774-F774)</f>
        <v/>
      </c>
      <c r="H774">
        <f>IF(G774=0,"Yes","No")</f>
        <v/>
      </c>
      <c r="I774" t="inlineStr">
        <is>
          <t>Partial</t>
        </is>
      </c>
      <c r="J774">
        <f>IF(I774="","",IF(AND(I774=C774,I774=D774),"Both",IF(I774=C774,"Opus",IF(I774=D774,"Sonnet","Neither"))))</f>
        <v/>
      </c>
    </row>
    <row r="775">
      <c r="A775" t="inlineStr">
        <is>
          <t>R222</t>
        </is>
      </c>
      <c r="B775" t="inlineStr">
        <is>
          <t>Q6</t>
        </is>
      </c>
      <c r="C775" t="inlineStr">
        <is>
          <t>Partial</t>
        </is>
      </c>
      <c r="D775" t="inlineStr">
        <is>
          <t>Yes</t>
        </is>
      </c>
      <c r="E775">
        <f>VLOOKUP(C775,CategoryMap,2,0)</f>
        <v/>
      </c>
      <c r="F775">
        <f>VLOOKUP(D775,CategoryMap,2,0)</f>
        <v/>
      </c>
      <c r="G775">
        <f>ABS(E775-F775)</f>
        <v/>
      </c>
      <c r="H775">
        <f>IF(G775=0,"Yes","No")</f>
        <v/>
      </c>
      <c r="I775" t="inlineStr">
        <is>
          <t>Partial</t>
        </is>
      </c>
      <c r="J775">
        <f>IF(I775="","",IF(AND(I775=C775,I775=D775),"Both",IF(I775=C775,"Opus",IF(I775=D775,"Sonnet","Neither"))))</f>
        <v/>
      </c>
    </row>
    <row r="776">
      <c r="A776" t="inlineStr">
        <is>
          <t>R222</t>
        </is>
      </c>
      <c r="B776" t="inlineStr">
        <is>
          <t>Q7</t>
        </is>
      </c>
      <c r="C776" t="inlineStr">
        <is>
          <t>No</t>
        </is>
      </c>
      <c r="D776" t="inlineStr">
        <is>
          <t>No</t>
        </is>
      </c>
      <c r="E776">
        <f>VLOOKUP(C776,CategoryMap,2,0)</f>
        <v/>
      </c>
      <c r="F776">
        <f>VLOOKUP(D776,CategoryMap,2,0)</f>
        <v/>
      </c>
      <c r="G776">
        <f>ABS(E776-F776)</f>
        <v/>
      </c>
      <c r="H776">
        <f>IF(G776=0,"Yes","No")</f>
        <v/>
      </c>
      <c r="I776" t="inlineStr">
        <is>
          <t>No</t>
        </is>
      </c>
      <c r="J776">
        <f>IF(I776="","",IF(AND(I776=C776,I776=D776),"Both",IF(I776=C776,"Opus",IF(I776=D776,"Sonnet","Neither"))))</f>
        <v/>
      </c>
    </row>
    <row r="777">
      <c r="A777" t="inlineStr">
        <is>
          <t>R222</t>
        </is>
      </c>
      <c r="B777" t="inlineStr">
        <is>
          <t>Q8</t>
        </is>
      </c>
      <c r="C777" t="inlineStr">
        <is>
          <t>Partial</t>
        </is>
      </c>
      <c r="D777" t="inlineStr">
        <is>
          <t>No</t>
        </is>
      </c>
      <c r="E777">
        <f>VLOOKUP(C777,CategoryMap,2,0)</f>
        <v/>
      </c>
      <c r="F777">
        <f>VLOOKUP(D777,CategoryMap,2,0)</f>
        <v/>
      </c>
      <c r="G777">
        <f>ABS(E777-F777)</f>
        <v/>
      </c>
      <c r="H777">
        <f>IF(G777=0,"Yes","No")</f>
        <v/>
      </c>
      <c r="I777" t="inlineStr">
        <is>
          <t>Partial</t>
        </is>
      </c>
      <c r="J777">
        <f>IF(I777="","",IF(AND(I777=C777,I777=D777),"Both",IF(I777=C777,"Opus",IF(I777=D777,"Sonnet","Neither"))))</f>
        <v/>
      </c>
    </row>
    <row r="778">
      <c r="A778" t="inlineStr">
        <is>
          <t>R223</t>
        </is>
      </c>
      <c r="B778" t="inlineStr">
        <is>
          <t>Q1</t>
        </is>
      </c>
      <c r="C778" t="inlineStr">
        <is>
          <t>Partial</t>
        </is>
      </c>
      <c r="D778" t="inlineStr">
        <is>
          <t>No</t>
        </is>
      </c>
      <c r="E778">
        <f>VLOOKUP(C778,CategoryMap,2,0)</f>
        <v/>
      </c>
      <c r="F778">
        <f>VLOOKUP(D778,CategoryMap,2,0)</f>
        <v/>
      </c>
      <c r="G778">
        <f>ABS(E778-F778)</f>
        <v/>
      </c>
      <c r="H778">
        <f>IF(G778=0,"Yes","No")</f>
        <v/>
      </c>
      <c r="I778" t="inlineStr">
        <is>
          <t>No</t>
        </is>
      </c>
      <c r="J778">
        <f>IF(I778="","",IF(AND(I778=C778,I778=D778),"Both",IF(I778=C778,"Opus",IF(I778=D778,"Sonnet","Neither"))))</f>
        <v/>
      </c>
    </row>
    <row r="779">
      <c r="A779" t="inlineStr">
        <is>
          <t>R223</t>
        </is>
      </c>
      <c r="B779" t="inlineStr">
        <is>
          <t>Q2</t>
        </is>
      </c>
      <c r="C779" t="inlineStr">
        <is>
          <t>Partial</t>
        </is>
      </c>
      <c r="D779" t="inlineStr">
        <is>
          <t>Partial</t>
        </is>
      </c>
      <c r="E779">
        <f>VLOOKUP(C779,CategoryMap,2,0)</f>
        <v/>
      </c>
      <c r="F779">
        <f>VLOOKUP(D779,CategoryMap,2,0)</f>
        <v/>
      </c>
      <c r="G779">
        <f>ABS(E779-F779)</f>
        <v/>
      </c>
      <c r="H779">
        <f>IF(G779=0,"Yes","No")</f>
        <v/>
      </c>
      <c r="I779" t="inlineStr">
        <is>
          <t>Partial</t>
        </is>
      </c>
      <c r="J779">
        <f>IF(I779="","",IF(AND(I779=C779,I779=D779),"Both",IF(I779=C779,"Opus",IF(I779=D779,"Sonnet","Neither"))))</f>
        <v/>
      </c>
    </row>
    <row r="780">
      <c r="A780" t="inlineStr">
        <is>
          <t>R223</t>
        </is>
      </c>
      <c r="B780" t="inlineStr">
        <is>
          <t>Q3</t>
        </is>
      </c>
      <c r="C780" t="inlineStr">
        <is>
          <t>Yes</t>
        </is>
      </c>
      <c r="D780" t="inlineStr">
        <is>
          <t>Partial</t>
        </is>
      </c>
      <c r="E780">
        <f>VLOOKUP(C780,CategoryMap,2,0)</f>
        <v/>
      </c>
      <c r="F780">
        <f>VLOOKUP(D780,CategoryMap,2,0)</f>
        <v/>
      </c>
      <c r="G780">
        <f>ABS(E780-F780)</f>
        <v/>
      </c>
      <c r="H780">
        <f>IF(G780=0,"Yes","No")</f>
        <v/>
      </c>
      <c r="I780" t="inlineStr">
        <is>
          <t>Partial</t>
        </is>
      </c>
      <c r="J780">
        <f>IF(I780="","",IF(AND(I780=C780,I780=D780),"Both",IF(I780=C780,"Opus",IF(I780=D780,"Sonnet","Neither"))))</f>
        <v/>
      </c>
    </row>
    <row r="781">
      <c r="A781" t="inlineStr">
        <is>
          <t>R223</t>
        </is>
      </c>
      <c r="B781" t="inlineStr">
        <is>
          <t>Q4</t>
        </is>
      </c>
      <c r="C781" t="inlineStr">
        <is>
          <t>No</t>
        </is>
      </c>
      <c r="D781" t="inlineStr">
        <is>
          <t>Partial</t>
        </is>
      </c>
      <c r="E781">
        <f>VLOOKUP(C781,CategoryMap,2,0)</f>
        <v/>
      </c>
      <c r="F781">
        <f>VLOOKUP(D781,CategoryMap,2,0)</f>
        <v/>
      </c>
      <c r="G781">
        <f>ABS(E781-F781)</f>
        <v/>
      </c>
      <c r="H781">
        <f>IF(G781=0,"Yes","No")</f>
        <v/>
      </c>
      <c r="I781" t="inlineStr">
        <is>
          <t>No</t>
        </is>
      </c>
      <c r="J781">
        <f>IF(I781="","",IF(AND(I781=C781,I781=D781),"Both",IF(I781=C781,"Opus",IF(I781=D781,"Sonnet","Neither"))))</f>
        <v/>
      </c>
    </row>
    <row r="782">
      <c r="A782" t="inlineStr">
        <is>
          <t>R223</t>
        </is>
      </c>
      <c r="B782" t="inlineStr">
        <is>
          <t>Q5</t>
        </is>
      </c>
      <c r="C782" t="inlineStr">
        <is>
          <t>No</t>
        </is>
      </c>
      <c r="D782" t="inlineStr">
        <is>
          <t>No</t>
        </is>
      </c>
      <c r="E782">
        <f>VLOOKUP(C782,CategoryMap,2,0)</f>
        <v/>
      </c>
      <c r="F782">
        <f>VLOOKUP(D782,CategoryMap,2,0)</f>
        <v/>
      </c>
      <c r="G782">
        <f>ABS(E782-F782)</f>
        <v/>
      </c>
      <c r="H782">
        <f>IF(G782=0,"Yes","No")</f>
        <v/>
      </c>
      <c r="I782" t="inlineStr">
        <is>
          <t>No</t>
        </is>
      </c>
      <c r="J782">
        <f>IF(I782="","",IF(AND(I782=C782,I782=D782),"Both",IF(I782=C782,"Opus",IF(I782=D782,"Sonnet","Neither"))))</f>
        <v/>
      </c>
    </row>
    <row r="783">
      <c r="A783" t="inlineStr">
        <is>
          <t>R223</t>
        </is>
      </c>
      <c r="B783" t="inlineStr">
        <is>
          <t>Q6</t>
        </is>
      </c>
      <c r="C783" t="inlineStr">
        <is>
          <t>Partial</t>
        </is>
      </c>
      <c r="D783" t="inlineStr">
        <is>
          <t>No</t>
        </is>
      </c>
      <c r="E783">
        <f>VLOOKUP(C783,CategoryMap,2,0)</f>
        <v/>
      </c>
      <c r="F783">
        <f>VLOOKUP(D783,CategoryMap,2,0)</f>
        <v/>
      </c>
      <c r="G783">
        <f>ABS(E783-F783)</f>
        <v/>
      </c>
      <c r="H783">
        <f>IF(G783=0,"Yes","No")</f>
        <v/>
      </c>
      <c r="I783" t="inlineStr">
        <is>
          <t>Partial</t>
        </is>
      </c>
      <c r="J783">
        <f>IF(I783="","",IF(AND(I783=C783,I783=D783),"Both",IF(I783=C783,"Opus",IF(I783=D783,"Sonnet","Neither"))))</f>
        <v/>
      </c>
    </row>
    <row r="784">
      <c r="A784" t="inlineStr">
        <is>
          <t>R223</t>
        </is>
      </c>
      <c r="B784" t="inlineStr">
        <is>
          <t>Q7</t>
        </is>
      </c>
      <c r="C784" t="inlineStr">
        <is>
          <t>Partial</t>
        </is>
      </c>
      <c r="D784" t="inlineStr">
        <is>
          <t>No</t>
        </is>
      </c>
      <c r="E784">
        <f>VLOOKUP(C784,CategoryMap,2,0)</f>
        <v/>
      </c>
      <c r="F784">
        <f>VLOOKUP(D784,CategoryMap,2,0)</f>
        <v/>
      </c>
      <c r="G784">
        <f>ABS(E784-F784)</f>
        <v/>
      </c>
      <c r="H784">
        <f>IF(G784=0,"Yes","No")</f>
        <v/>
      </c>
      <c r="I784" t="inlineStr">
        <is>
          <t>Partial</t>
        </is>
      </c>
      <c r="J784">
        <f>IF(I784="","",IF(AND(I784=C784,I784=D784),"Both",IF(I784=C784,"Opus",IF(I784=D784,"Sonnet","Neither"))))</f>
        <v/>
      </c>
    </row>
    <row r="785">
      <c r="A785" t="inlineStr">
        <is>
          <t>R223</t>
        </is>
      </c>
      <c r="B785" t="inlineStr">
        <is>
          <t>Q8</t>
        </is>
      </c>
      <c r="C785" t="inlineStr">
        <is>
          <t>Partial</t>
        </is>
      </c>
      <c r="D785" t="inlineStr">
        <is>
          <t>No</t>
        </is>
      </c>
      <c r="E785">
        <f>VLOOKUP(C785,CategoryMap,2,0)</f>
        <v/>
      </c>
      <c r="F785">
        <f>VLOOKUP(D785,CategoryMap,2,0)</f>
        <v/>
      </c>
      <c r="G785">
        <f>ABS(E785-F785)</f>
        <v/>
      </c>
      <c r="H785">
        <f>IF(G785=0,"Yes","No")</f>
        <v/>
      </c>
      <c r="I785" t="inlineStr">
        <is>
          <t>Partial</t>
        </is>
      </c>
      <c r="J785">
        <f>IF(I785="","",IF(AND(I785=C785,I785=D785),"Both",IF(I785=C785,"Opus",IF(I785=D785,"Sonnet","Neither"))))</f>
        <v/>
      </c>
    </row>
    <row r="786">
      <c r="A786" t="inlineStr">
        <is>
          <t>R229</t>
        </is>
      </c>
      <c r="B786" t="inlineStr">
        <is>
          <t>Q1</t>
        </is>
      </c>
      <c r="C786" t="inlineStr">
        <is>
          <t>Yes</t>
        </is>
      </c>
      <c r="D786" t="inlineStr">
        <is>
          <t>Partial</t>
        </is>
      </c>
      <c r="E786">
        <f>VLOOKUP(C786,CategoryMap,2,0)</f>
        <v/>
      </c>
      <c r="F786">
        <f>VLOOKUP(D786,CategoryMap,2,0)</f>
        <v/>
      </c>
      <c r="G786">
        <f>ABS(E786-F786)</f>
        <v/>
      </c>
      <c r="H786">
        <f>IF(G786=0,"Yes","No")</f>
        <v/>
      </c>
      <c r="I786" t="inlineStr">
        <is>
          <t>Partial</t>
        </is>
      </c>
      <c r="J786">
        <f>IF(I786="","",IF(AND(I786=C786,I786=D786),"Both",IF(I786=C786,"Opus",IF(I786=D786,"Sonnet","Neither"))))</f>
        <v/>
      </c>
    </row>
    <row r="787">
      <c r="A787" t="inlineStr">
        <is>
          <t>R229</t>
        </is>
      </c>
      <c r="B787" t="inlineStr">
        <is>
          <t>Q2</t>
        </is>
      </c>
      <c r="C787" t="inlineStr">
        <is>
          <t>Yes</t>
        </is>
      </c>
      <c r="D787" t="inlineStr">
        <is>
          <t>Yes</t>
        </is>
      </c>
      <c r="E787">
        <f>VLOOKUP(C787,CategoryMap,2,0)</f>
        <v/>
      </c>
      <c r="F787">
        <f>VLOOKUP(D787,CategoryMap,2,0)</f>
        <v/>
      </c>
      <c r="G787">
        <f>ABS(E787-F787)</f>
        <v/>
      </c>
      <c r="H787">
        <f>IF(G787=0,"Yes","No")</f>
        <v/>
      </c>
      <c r="I787" t="inlineStr">
        <is>
          <t>Yes</t>
        </is>
      </c>
      <c r="J787">
        <f>IF(I787="","",IF(AND(I787=C787,I787=D787),"Both",IF(I787=C787,"Opus",IF(I787=D787,"Sonnet","Neither"))))</f>
        <v/>
      </c>
    </row>
    <row r="788">
      <c r="A788" t="inlineStr">
        <is>
          <t>R229</t>
        </is>
      </c>
      <c r="B788" t="inlineStr">
        <is>
          <t>Q3</t>
        </is>
      </c>
      <c r="C788" t="inlineStr">
        <is>
          <t>Yes</t>
        </is>
      </c>
      <c r="D788" t="inlineStr">
        <is>
          <t>Yes</t>
        </is>
      </c>
      <c r="E788">
        <f>VLOOKUP(C788,CategoryMap,2,0)</f>
        <v/>
      </c>
      <c r="F788">
        <f>VLOOKUP(D788,CategoryMap,2,0)</f>
        <v/>
      </c>
      <c r="G788">
        <f>ABS(E788-F788)</f>
        <v/>
      </c>
      <c r="H788">
        <f>IF(G788=0,"Yes","No")</f>
        <v/>
      </c>
      <c r="I788" t="inlineStr">
        <is>
          <t>Yes</t>
        </is>
      </c>
      <c r="J788">
        <f>IF(I788="","",IF(AND(I788=C788,I788=D788),"Both",IF(I788=C788,"Opus",IF(I788=D788,"Sonnet","Neither"))))</f>
        <v/>
      </c>
    </row>
    <row r="789">
      <c r="A789" t="inlineStr">
        <is>
          <t>R229</t>
        </is>
      </c>
      <c r="B789" t="inlineStr">
        <is>
          <t>Q4</t>
        </is>
      </c>
      <c r="C789" t="inlineStr">
        <is>
          <t>No</t>
        </is>
      </c>
      <c r="D789" t="inlineStr">
        <is>
          <t>Partial</t>
        </is>
      </c>
      <c r="E789">
        <f>VLOOKUP(C789,CategoryMap,2,0)</f>
        <v/>
      </c>
      <c r="F789">
        <f>VLOOKUP(D789,CategoryMap,2,0)</f>
        <v/>
      </c>
      <c r="G789">
        <f>ABS(E789-F789)</f>
        <v/>
      </c>
      <c r="H789">
        <f>IF(G789=0,"Yes","No")</f>
        <v/>
      </c>
      <c r="I789" t="inlineStr">
        <is>
          <t>Partial</t>
        </is>
      </c>
      <c r="J789">
        <f>IF(I789="","",IF(AND(I789=C789,I789=D789),"Both",IF(I789=C789,"Opus",IF(I789=D789,"Sonnet","Neither"))))</f>
        <v/>
      </c>
    </row>
    <row r="790">
      <c r="A790" t="inlineStr">
        <is>
          <t>R229</t>
        </is>
      </c>
      <c r="B790" t="inlineStr">
        <is>
          <t>Q5</t>
        </is>
      </c>
      <c r="C790" t="inlineStr">
        <is>
          <t>Partial</t>
        </is>
      </c>
      <c r="D790" t="inlineStr">
        <is>
          <t>Partial</t>
        </is>
      </c>
      <c r="E790">
        <f>VLOOKUP(C790,CategoryMap,2,0)</f>
        <v/>
      </c>
      <c r="F790">
        <f>VLOOKUP(D790,CategoryMap,2,0)</f>
        <v/>
      </c>
      <c r="G790">
        <f>ABS(E790-F790)</f>
        <v/>
      </c>
      <c r="H790">
        <f>IF(G790=0,"Yes","No")</f>
        <v/>
      </c>
      <c r="I790" t="inlineStr">
        <is>
          <t>Partial</t>
        </is>
      </c>
      <c r="J790">
        <f>IF(I790="","",IF(AND(I790=C790,I790=D790),"Both",IF(I790=C790,"Opus",IF(I790=D790,"Sonnet","Neither"))))</f>
        <v/>
      </c>
    </row>
    <row r="791">
      <c r="A791" t="inlineStr">
        <is>
          <t>R229</t>
        </is>
      </c>
      <c r="B791" t="inlineStr">
        <is>
          <t>Q6</t>
        </is>
      </c>
      <c r="C791" t="inlineStr">
        <is>
          <t>Partial</t>
        </is>
      </c>
      <c r="D791" t="inlineStr">
        <is>
          <t>Partial</t>
        </is>
      </c>
      <c r="E791">
        <f>VLOOKUP(C791,CategoryMap,2,0)</f>
        <v/>
      </c>
      <c r="F791">
        <f>VLOOKUP(D791,CategoryMap,2,0)</f>
        <v/>
      </c>
      <c r="G791">
        <f>ABS(E791-F791)</f>
        <v/>
      </c>
      <c r="H791">
        <f>IF(G791=0,"Yes","No")</f>
        <v/>
      </c>
      <c r="I791" t="inlineStr">
        <is>
          <t>Partial</t>
        </is>
      </c>
      <c r="J791">
        <f>IF(I791="","",IF(AND(I791=C791,I791=D791),"Both",IF(I791=C791,"Opus",IF(I791=D791,"Sonnet","Neither"))))</f>
        <v/>
      </c>
    </row>
    <row r="792">
      <c r="A792" t="inlineStr">
        <is>
          <t>R229</t>
        </is>
      </c>
      <c r="B792" t="inlineStr">
        <is>
          <t>Q7</t>
        </is>
      </c>
      <c r="C792" t="inlineStr">
        <is>
          <t>Partial</t>
        </is>
      </c>
      <c r="D792" t="inlineStr">
        <is>
          <t>Partial</t>
        </is>
      </c>
      <c r="E792">
        <f>VLOOKUP(C792,CategoryMap,2,0)</f>
        <v/>
      </c>
      <c r="F792">
        <f>VLOOKUP(D792,CategoryMap,2,0)</f>
        <v/>
      </c>
      <c r="G792">
        <f>ABS(E792-F792)</f>
        <v/>
      </c>
      <c r="H792">
        <f>IF(G792=0,"Yes","No")</f>
        <v/>
      </c>
      <c r="I792" t="inlineStr">
        <is>
          <t>Partial</t>
        </is>
      </c>
      <c r="J792">
        <f>IF(I792="","",IF(AND(I792=C792,I792=D792),"Both",IF(I792=C792,"Opus",IF(I792=D792,"Sonnet","Neither"))))</f>
        <v/>
      </c>
    </row>
    <row r="793">
      <c r="A793" t="inlineStr">
        <is>
          <t>R229</t>
        </is>
      </c>
      <c r="B793" t="inlineStr">
        <is>
          <t>Q8</t>
        </is>
      </c>
      <c r="C793" t="inlineStr">
        <is>
          <t>Partial</t>
        </is>
      </c>
      <c r="D793" t="inlineStr">
        <is>
          <t>Partial</t>
        </is>
      </c>
      <c r="E793">
        <f>VLOOKUP(C793,CategoryMap,2,0)</f>
        <v/>
      </c>
      <c r="F793">
        <f>VLOOKUP(D793,CategoryMap,2,0)</f>
        <v/>
      </c>
      <c r="G793">
        <f>ABS(E793-F793)</f>
        <v/>
      </c>
      <c r="H793">
        <f>IF(G793=0,"Yes","No")</f>
        <v/>
      </c>
      <c r="I793" t="inlineStr">
        <is>
          <t>Yes</t>
        </is>
      </c>
      <c r="J793">
        <f>IF(I793="","",IF(AND(I793=C793,I793=D793),"Both",IF(I793=C793,"Opus",IF(I793=D793,"Sonnet","Neither"))))</f>
        <v/>
      </c>
    </row>
    <row r="794">
      <c r="A794" t="inlineStr">
        <is>
          <t>R231</t>
        </is>
      </c>
      <c r="B794" t="inlineStr">
        <is>
          <t>Q1</t>
        </is>
      </c>
      <c r="C794" t="inlineStr">
        <is>
          <t>Yes</t>
        </is>
      </c>
      <c r="D794" t="inlineStr">
        <is>
          <t>Partial</t>
        </is>
      </c>
      <c r="E794">
        <f>VLOOKUP(C794,CategoryMap,2,0)</f>
        <v/>
      </c>
      <c r="F794">
        <f>VLOOKUP(D794,CategoryMap,2,0)</f>
        <v/>
      </c>
      <c r="G794">
        <f>ABS(E794-F794)</f>
        <v/>
      </c>
      <c r="H794">
        <f>IF(G794=0,"Yes","No")</f>
        <v/>
      </c>
      <c r="I794" t="inlineStr">
        <is>
          <t>Partial</t>
        </is>
      </c>
      <c r="J794">
        <f>IF(I794="","",IF(AND(I794=C794,I794=D794),"Both",IF(I794=C794,"Opus",IF(I794=D794,"Sonnet","Neither"))))</f>
        <v/>
      </c>
    </row>
    <row r="795">
      <c r="A795" t="inlineStr">
        <is>
          <t>R231</t>
        </is>
      </c>
      <c r="B795" t="inlineStr">
        <is>
          <t>Q2</t>
        </is>
      </c>
      <c r="C795" t="inlineStr">
        <is>
          <t>Partial</t>
        </is>
      </c>
      <c r="D795" t="inlineStr">
        <is>
          <t>Partial</t>
        </is>
      </c>
      <c r="E795">
        <f>VLOOKUP(C795,CategoryMap,2,0)</f>
        <v/>
      </c>
      <c r="F795">
        <f>VLOOKUP(D795,CategoryMap,2,0)</f>
        <v/>
      </c>
      <c r="G795">
        <f>ABS(E795-F795)</f>
        <v/>
      </c>
      <c r="H795">
        <f>IF(G795=0,"Yes","No")</f>
        <v/>
      </c>
      <c r="I795" t="inlineStr">
        <is>
          <t>Partial</t>
        </is>
      </c>
      <c r="J795">
        <f>IF(I795="","",IF(AND(I795=C795,I795=D795),"Both",IF(I795=C795,"Opus",IF(I795=D795,"Sonnet","Neither"))))</f>
        <v/>
      </c>
    </row>
    <row r="796">
      <c r="A796" t="inlineStr">
        <is>
          <t>R231</t>
        </is>
      </c>
      <c r="B796" t="inlineStr">
        <is>
          <t>Q3</t>
        </is>
      </c>
      <c r="C796" t="inlineStr">
        <is>
          <t>Yes</t>
        </is>
      </c>
      <c r="D796" t="inlineStr">
        <is>
          <t>Yes</t>
        </is>
      </c>
      <c r="E796">
        <f>VLOOKUP(C796,CategoryMap,2,0)</f>
        <v/>
      </c>
      <c r="F796">
        <f>VLOOKUP(D796,CategoryMap,2,0)</f>
        <v/>
      </c>
      <c r="G796">
        <f>ABS(E796-F796)</f>
        <v/>
      </c>
      <c r="H796">
        <f>IF(G796=0,"Yes","No")</f>
        <v/>
      </c>
      <c r="I796" t="inlineStr">
        <is>
          <t>Yes</t>
        </is>
      </c>
      <c r="J796">
        <f>IF(I796="","",IF(AND(I796=C796,I796=D796),"Both",IF(I796=C796,"Opus",IF(I796=D796,"Sonnet","Neither"))))</f>
        <v/>
      </c>
    </row>
    <row r="797">
      <c r="A797" t="inlineStr">
        <is>
          <t>R231</t>
        </is>
      </c>
      <c r="B797" t="inlineStr">
        <is>
          <t>Q4</t>
        </is>
      </c>
      <c r="C797" t="inlineStr">
        <is>
          <t>No</t>
        </is>
      </c>
      <c r="D797" t="inlineStr">
        <is>
          <t>Partial</t>
        </is>
      </c>
      <c r="E797">
        <f>VLOOKUP(C797,CategoryMap,2,0)</f>
        <v/>
      </c>
      <c r="F797">
        <f>VLOOKUP(D797,CategoryMap,2,0)</f>
        <v/>
      </c>
      <c r="G797">
        <f>ABS(E797-F797)</f>
        <v/>
      </c>
      <c r="H797">
        <f>IF(G797=0,"Yes","No")</f>
        <v/>
      </c>
      <c r="I797" t="inlineStr">
        <is>
          <t>No</t>
        </is>
      </c>
      <c r="J797">
        <f>IF(I797="","",IF(AND(I797=C797,I797=D797),"Both",IF(I797=C797,"Opus",IF(I797=D797,"Sonnet","Neither"))))</f>
        <v/>
      </c>
    </row>
    <row r="798">
      <c r="A798" t="inlineStr">
        <is>
          <t>R231</t>
        </is>
      </c>
      <c r="B798" t="inlineStr">
        <is>
          <t>Q5</t>
        </is>
      </c>
      <c r="C798" t="inlineStr">
        <is>
          <t>Partial</t>
        </is>
      </c>
      <c r="D798" t="inlineStr">
        <is>
          <t>Yes</t>
        </is>
      </c>
      <c r="E798">
        <f>VLOOKUP(C798,CategoryMap,2,0)</f>
        <v/>
      </c>
      <c r="F798">
        <f>VLOOKUP(D798,CategoryMap,2,0)</f>
        <v/>
      </c>
      <c r="G798">
        <f>ABS(E798-F798)</f>
        <v/>
      </c>
      <c r="H798">
        <f>IF(G798=0,"Yes","No")</f>
        <v/>
      </c>
      <c r="I798" t="inlineStr">
        <is>
          <t>Partial</t>
        </is>
      </c>
      <c r="J798">
        <f>IF(I798="","",IF(AND(I798=C798,I798=D798),"Both",IF(I798=C798,"Opus",IF(I798=D798,"Sonnet","Neither"))))</f>
        <v/>
      </c>
    </row>
    <row r="799">
      <c r="A799" t="inlineStr">
        <is>
          <t>R231</t>
        </is>
      </c>
      <c r="B799" t="inlineStr">
        <is>
          <t>Q6</t>
        </is>
      </c>
      <c r="C799" t="inlineStr">
        <is>
          <t>Partial</t>
        </is>
      </c>
      <c r="D799" t="inlineStr">
        <is>
          <t>Yes</t>
        </is>
      </c>
      <c r="E799">
        <f>VLOOKUP(C799,CategoryMap,2,0)</f>
        <v/>
      </c>
      <c r="F799">
        <f>VLOOKUP(D799,CategoryMap,2,0)</f>
        <v/>
      </c>
      <c r="G799">
        <f>ABS(E799-F799)</f>
        <v/>
      </c>
      <c r="H799">
        <f>IF(G799=0,"Yes","No")</f>
        <v/>
      </c>
      <c r="I799" t="inlineStr">
        <is>
          <t>Partial</t>
        </is>
      </c>
      <c r="J799">
        <f>IF(I799="","",IF(AND(I799=C799,I799=D799),"Both",IF(I799=C799,"Opus",IF(I799=D799,"Sonnet","Neither"))))</f>
        <v/>
      </c>
    </row>
    <row r="800">
      <c r="A800" t="inlineStr">
        <is>
          <t>R231</t>
        </is>
      </c>
      <c r="B800" t="inlineStr">
        <is>
          <t>Q7</t>
        </is>
      </c>
      <c r="C800" t="inlineStr">
        <is>
          <t>Yes</t>
        </is>
      </c>
      <c r="D800" t="inlineStr">
        <is>
          <t>Yes</t>
        </is>
      </c>
      <c r="E800">
        <f>VLOOKUP(C800,CategoryMap,2,0)</f>
        <v/>
      </c>
      <c r="F800">
        <f>VLOOKUP(D800,CategoryMap,2,0)</f>
        <v/>
      </c>
      <c r="G800">
        <f>ABS(E800-F800)</f>
        <v/>
      </c>
      <c r="H800">
        <f>IF(G800=0,"Yes","No")</f>
        <v/>
      </c>
      <c r="I800" t="inlineStr">
        <is>
          <t>Yes</t>
        </is>
      </c>
      <c r="J800">
        <f>IF(I800="","",IF(AND(I800=C800,I800=D800),"Both",IF(I800=C800,"Opus",IF(I800=D800,"Sonnet","Neither"))))</f>
        <v/>
      </c>
    </row>
    <row r="801">
      <c r="A801" t="inlineStr">
        <is>
          <t>R231</t>
        </is>
      </c>
      <c r="B801" t="inlineStr">
        <is>
          <t>Q8</t>
        </is>
      </c>
      <c r="C801" t="inlineStr">
        <is>
          <t>Partial</t>
        </is>
      </c>
      <c r="D801" t="inlineStr">
        <is>
          <t>Partial</t>
        </is>
      </c>
      <c r="E801">
        <f>VLOOKUP(C801,CategoryMap,2,0)</f>
        <v/>
      </c>
      <c r="F801">
        <f>VLOOKUP(D801,CategoryMap,2,0)</f>
        <v/>
      </c>
      <c r="G801">
        <f>ABS(E801-F801)</f>
        <v/>
      </c>
      <c r="H801">
        <f>IF(G801=0,"Yes","No")</f>
        <v/>
      </c>
      <c r="I801" t="inlineStr">
        <is>
          <t>Partial</t>
        </is>
      </c>
      <c r="J801">
        <f>IF(I801="","",IF(AND(I801=C801,I801=D801),"Both",IF(I801=C801,"Opus",IF(I801=D801,"Sonnet","Neither"))))</f>
        <v/>
      </c>
    </row>
    <row r="802">
      <c r="A802" t="inlineStr">
        <is>
          <t>R232</t>
        </is>
      </c>
      <c r="B802" t="inlineStr">
        <is>
          <t>Q1</t>
        </is>
      </c>
      <c r="C802" t="inlineStr">
        <is>
          <t>Partial</t>
        </is>
      </c>
      <c r="D802" t="inlineStr">
        <is>
          <t>Partial</t>
        </is>
      </c>
      <c r="E802">
        <f>VLOOKUP(C802,CategoryMap,2,0)</f>
        <v/>
      </c>
      <c r="F802">
        <f>VLOOKUP(D802,CategoryMap,2,0)</f>
        <v/>
      </c>
      <c r="G802">
        <f>ABS(E802-F802)</f>
        <v/>
      </c>
      <c r="H802">
        <f>IF(G802=0,"Yes","No")</f>
        <v/>
      </c>
      <c r="I802" t="inlineStr">
        <is>
          <t>Partial</t>
        </is>
      </c>
      <c r="J802">
        <f>IF(I802="","",IF(AND(I802=C802,I802=D802),"Both",IF(I802=C802,"Opus",IF(I802=D802,"Sonnet","Neither"))))</f>
        <v/>
      </c>
    </row>
    <row r="803">
      <c r="A803" t="inlineStr">
        <is>
          <t>R232</t>
        </is>
      </c>
      <c r="B803" t="inlineStr">
        <is>
          <t>Q2</t>
        </is>
      </c>
      <c r="C803" t="inlineStr">
        <is>
          <t>Partial</t>
        </is>
      </c>
      <c r="D803" t="inlineStr">
        <is>
          <t>Partial</t>
        </is>
      </c>
      <c r="E803">
        <f>VLOOKUP(C803,CategoryMap,2,0)</f>
        <v/>
      </c>
      <c r="F803">
        <f>VLOOKUP(D803,CategoryMap,2,0)</f>
        <v/>
      </c>
      <c r="G803">
        <f>ABS(E803-F803)</f>
        <v/>
      </c>
      <c r="H803">
        <f>IF(G803=0,"Yes","No")</f>
        <v/>
      </c>
      <c r="I803" t="inlineStr">
        <is>
          <t>Partial</t>
        </is>
      </c>
      <c r="J803">
        <f>IF(I803="","",IF(AND(I803=C803,I803=D803),"Both",IF(I803=C803,"Opus",IF(I803=D803,"Sonnet","Neither"))))</f>
        <v/>
      </c>
    </row>
    <row r="804">
      <c r="A804" t="inlineStr">
        <is>
          <t>R232</t>
        </is>
      </c>
      <c r="B804" t="inlineStr">
        <is>
          <t>Q3</t>
        </is>
      </c>
      <c r="C804" t="inlineStr">
        <is>
          <t>Partial</t>
        </is>
      </c>
      <c r="D804" t="inlineStr">
        <is>
          <t>Partial</t>
        </is>
      </c>
      <c r="E804">
        <f>VLOOKUP(C804,CategoryMap,2,0)</f>
        <v/>
      </c>
      <c r="F804">
        <f>VLOOKUP(D804,CategoryMap,2,0)</f>
        <v/>
      </c>
      <c r="G804">
        <f>ABS(E804-F804)</f>
        <v/>
      </c>
      <c r="H804">
        <f>IF(G804=0,"Yes","No")</f>
        <v/>
      </c>
      <c r="I804" t="inlineStr">
        <is>
          <t>Partial</t>
        </is>
      </c>
      <c r="J804">
        <f>IF(I804="","",IF(AND(I804=C804,I804=D804),"Both",IF(I804=C804,"Opus",IF(I804=D804,"Sonnet","Neither"))))</f>
        <v/>
      </c>
    </row>
    <row r="805">
      <c r="A805" t="inlineStr">
        <is>
          <t>R232</t>
        </is>
      </c>
      <c r="B805" t="inlineStr">
        <is>
          <t>Q4</t>
        </is>
      </c>
      <c r="C805" t="inlineStr">
        <is>
          <t>Partial</t>
        </is>
      </c>
      <c r="D805" t="inlineStr">
        <is>
          <t>Partial</t>
        </is>
      </c>
      <c r="E805">
        <f>VLOOKUP(C805,CategoryMap,2,0)</f>
        <v/>
      </c>
      <c r="F805">
        <f>VLOOKUP(D805,CategoryMap,2,0)</f>
        <v/>
      </c>
      <c r="G805">
        <f>ABS(E805-F805)</f>
        <v/>
      </c>
      <c r="H805">
        <f>IF(G805=0,"Yes","No")</f>
        <v/>
      </c>
      <c r="I805" t="inlineStr">
        <is>
          <t>Partial</t>
        </is>
      </c>
      <c r="J805">
        <f>IF(I805="","",IF(AND(I805=C805,I805=D805),"Both",IF(I805=C805,"Opus",IF(I805=D805,"Sonnet","Neither"))))</f>
        <v/>
      </c>
    </row>
    <row r="806">
      <c r="A806" t="inlineStr">
        <is>
          <t>R232</t>
        </is>
      </c>
      <c r="B806" t="inlineStr">
        <is>
          <t>Q5</t>
        </is>
      </c>
      <c r="C806" t="inlineStr">
        <is>
          <t>Yes</t>
        </is>
      </c>
      <c r="D806" t="inlineStr">
        <is>
          <t>Yes</t>
        </is>
      </c>
      <c r="E806">
        <f>VLOOKUP(C806,CategoryMap,2,0)</f>
        <v/>
      </c>
      <c r="F806">
        <f>VLOOKUP(D806,CategoryMap,2,0)</f>
        <v/>
      </c>
      <c r="G806">
        <f>ABS(E806-F806)</f>
        <v/>
      </c>
      <c r="H806">
        <f>IF(G806=0,"Yes","No")</f>
        <v/>
      </c>
      <c r="I806" t="inlineStr">
        <is>
          <t>Yes</t>
        </is>
      </c>
      <c r="J806">
        <f>IF(I806="","",IF(AND(I806=C806,I806=D806),"Both",IF(I806=C806,"Opus",IF(I806=D806,"Sonnet","Neither"))))</f>
        <v/>
      </c>
    </row>
    <row r="807">
      <c r="A807" t="inlineStr">
        <is>
          <t>R232</t>
        </is>
      </c>
      <c r="B807" t="inlineStr">
        <is>
          <t>Q6</t>
        </is>
      </c>
      <c r="C807" t="inlineStr">
        <is>
          <t>Yes</t>
        </is>
      </c>
      <c r="D807" t="inlineStr">
        <is>
          <t>Yes</t>
        </is>
      </c>
      <c r="E807">
        <f>VLOOKUP(C807,CategoryMap,2,0)</f>
        <v/>
      </c>
      <c r="F807">
        <f>VLOOKUP(D807,CategoryMap,2,0)</f>
        <v/>
      </c>
      <c r="G807">
        <f>ABS(E807-F807)</f>
        <v/>
      </c>
      <c r="H807">
        <f>IF(G807=0,"Yes","No")</f>
        <v/>
      </c>
      <c r="I807" t="inlineStr">
        <is>
          <t>Yes</t>
        </is>
      </c>
      <c r="J807">
        <f>IF(I807="","",IF(AND(I807=C807,I807=D807),"Both",IF(I807=C807,"Opus",IF(I807=D807,"Sonnet","Neither"))))</f>
        <v/>
      </c>
    </row>
    <row r="808">
      <c r="A808" t="inlineStr">
        <is>
          <t>R232</t>
        </is>
      </c>
      <c r="B808" t="inlineStr">
        <is>
          <t>Q7</t>
        </is>
      </c>
      <c r="C808" t="inlineStr">
        <is>
          <t>No</t>
        </is>
      </c>
      <c r="D808" t="inlineStr">
        <is>
          <t>No</t>
        </is>
      </c>
      <c r="E808">
        <f>VLOOKUP(C808,CategoryMap,2,0)</f>
        <v/>
      </c>
      <c r="F808">
        <f>VLOOKUP(D808,CategoryMap,2,0)</f>
        <v/>
      </c>
      <c r="G808">
        <f>ABS(E808-F808)</f>
        <v/>
      </c>
      <c r="H808">
        <f>IF(G808=0,"Yes","No")</f>
        <v/>
      </c>
      <c r="I808" t="inlineStr">
        <is>
          <t>No</t>
        </is>
      </c>
      <c r="J808">
        <f>IF(I808="","",IF(AND(I808=C808,I808=D808),"Both",IF(I808=C808,"Opus",IF(I808=D808,"Sonnet","Neither"))))</f>
        <v/>
      </c>
    </row>
    <row r="809">
      <c r="A809" t="inlineStr">
        <is>
          <t>R232</t>
        </is>
      </c>
      <c r="B809" t="inlineStr">
        <is>
          <t>Q8</t>
        </is>
      </c>
      <c r="C809" t="inlineStr">
        <is>
          <t>Partial</t>
        </is>
      </c>
      <c r="D809" t="inlineStr">
        <is>
          <t>Partial</t>
        </is>
      </c>
      <c r="E809">
        <f>VLOOKUP(C809,CategoryMap,2,0)</f>
        <v/>
      </c>
      <c r="F809">
        <f>VLOOKUP(D809,CategoryMap,2,0)</f>
        <v/>
      </c>
      <c r="G809">
        <f>ABS(E809-F809)</f>
        <v/>
      </c>
      <c r="H809">
        <f>IF(G809=0,"Yes","No")</f>
        <v/>
      </c>
      <c r="I809" t="inlineStr">
        <is>
          <t>Partial</t>
        </is>
      </c>
      <c r="J809">
        <f>IF(I809="","",IF(AND(I809=C809,I809=D809),"Both",IF(I809=C809,"Opus",IF(I809=D809,"Sonnet","Neither"))))</f>
        <v/>
      </c>
    </row>
    <row r="810">
      <c r="A810" t="inlineStr">
        <is>
          <t>R235</t>
        </is>
      </c>
      <c r="B810" t="inlineStr">
        <is>
          <t>Q1</t>
        </is>
      </c>
      <c r="C810" t="inlineStr">
        <is>
          <t>No</t>
        </is>
      </c>
      <c r="D810" t="inlineStr">
        <is>
          <t>No</t>
        </is>
      </c>
      <c r="E810">
        <f>VLOOKUP(C810,CategoryMap,2,0)</f>
        <v/>
      </c>
      <c r="F810">
        <f>VLOOKUP(D810,CategoryMap,2,0)</f>
        <v/>
      </c>
      <c r="G810">
        <f>ABS(E810-F810)</f>
        <v/>
      </c>
      <c r="H810">
        <f>IF(G810=0,"Yes","No")</f>
        <v/>
      </c>
      <c r="I810" t="inlineStr">
        <is>
          <t>No</t>
        </is>
      </c>
      <c r="J810">
        <f>IF(I810="","",IF(AND(I810=C810,I810=D810),"Both",IF(I810=C810,"Opus",IF(I810=D810,"Sonnet","Neither"))))</f>
        <v/>
      </c>
    </row>
    <row r="811">
      <c r="A811" t="inlineStr">
        <is>
          <t>R235</t>
        </is>
      </c>
      <c r="B811" t="inlineStr">
        <is>
          <t>Q2</t>
        </is>
      </c>
      <c r="C811" t="inlineStr">
        <is>
          <t>Partial</t>
        </is>
      </c>
      <c r="D811" t="inlineStr">
        <is>
          <t>No</t>
        </is>
      </c>
      <c r="E811">
        <f>VLOOKUP(C811,CategoryMap,2,0)</f>
        <v/>
      </c>
      <c r="F811">
        <f>VLOOKUP(D811,CategoryMap,2,0)</f>
        <v/>
      </c>
      <c r="G811">
        <f>ABS(E811-F811)</f>
        <v/>
      </c>
      <c r="H811">
        <f>IF(G811=0,"Yes","No")</f>
        <v/>
      </c>
      <c r="I811" t="inlineStr">
        <is>
          <t>Partial</t>
        </is>
      </c>
      <c r="J811">
        <f>IF(I811="","",IF(AND(I811=C811,I811=D811),"Both",IF(I811=C811,"Opus",IF(I811=D811,"Sonnet","Neither"))))</f>
        <v/>
      </c>
    </row>
    <row r="812">
      <c r="A812" t="inlineStr">
        <is>
          <t>R235</t>
        </is>
      </c>
      <c r="B812" t="inlineStr">
        <is>
          <t>Q3</t>
        </is>
      </c>
      <c r="C812" t="inlineStr">
        <is>
          <t>Partial</t>
        </is>
      </c>
      <c r="D812" t="inlineStr">
        <is>
          <t>No</t>
        </is>
      </c>
      <c r="E812">
        <f>VLOOKUP(C812,CategoryMap,2,0)</f>
        <v/>
      </c>
      <c r="F812">
        <f>VLOOKUP(D812,CategoryMap,2,0)</f>
        <v/>
      </c>
      <c r="G812">
        <f>ABS(E812-F812)</f>
        <v/>
      </c>
      <c r="H812">
        <f>IF(G812=0,"Yes","No")</f>
        <v/>
      </c>
      <c r="I812" t="inlineStr">
        <is>
          <t>Partial</t>
        </is>
      </c>
      <c r="J812">
        <f>IF(I812="","",IF(AND(I812=C812,I812=D812),"Both",IF(I812=C812,"Opus",IF(I812=D812,"Sonnet","Neither"))))</f>
        <v/>
      </c>
    </row>
    <row r="813">
      <c r="A813" t="inlineStr">
        <is>
          <t>R235</t>
        </is>
      </c>
      <c r="B813" t="inlineStr">
        <is>
          <t>Q4</t>
        </is>
      </c>
      <c r="C813" t="inlineStr">
        <is>
          <t>Partial</t>
        </is>
      </c>
      <c r="D813" t="inlineStr">
        <is>
          <t>Yes</t>
        </is>
      </c>
      <c r="E813">
        <f>VLOOKUP(C813,CategoryMap,2,0)</f>
        <v/>
      </c>
      <c r="F813">
        <f>VLOOKUP(D813,CategoryMap,2,0)</f>
        <v/>
      </c>
      <c r="G813">
        <f>ABS(E813-F813)</f>
        <v/>
      </c>
      <c r="H813">
        <f>IF(G813=0,"Yes","No")</f>
        <v/>
      </c>
      <c r="I813" t="inlineStr">
        <is>
          <t>Partial</t>
        </is>
      </c>
      <c r="J813">
        <f>IF(I813="","",IF(AND(I813=C813,I813=D813),"Both",IF(I813=C813,"Opus",IF(I813=D813,"Sonnet","Neither"))))</f>
        <v/>
      </c>
    </row>
    <row r="814">
      <c r="A814" t="inlineStr">
        <is>
          <t>R235</t>
        </is>
      </c>
      <c r="B814" t="inlineStr">
        <is>
          <t>Q5</t>
        </is>
      </c>
      <c r="C814" t="inlineStr">
        <is>
          <t>Partial</t>
        </is>
      </c>
      <c r="D814" t="inlineStr">
        <is>
          <t>Yes</t>
        </is>
      </c>
      <c r="E814">
        <f>VLOOKUP(C814,CategoryMap,2,0)</f>
        <v/>
      </c>
      <c r="F814">
        <f>VLOOKUP(D814,CategoryMap,2,0)</f>
        <v/>
      </c>
      <c r="G814">
        <f>ABS(E814-F814)</f>
        <v/>
      </c>
      <c r="H814">
        <f>IF(G814=0,"Yes","No")</f>
        <v/>
      </c>
      <c r="I814" t="inlineStr">
        <is>
          <t>Partial</t>
        </is>
      </c>
      <c r="J814">
        <f>IF(I814="","",IF(AND(I814=C814,I814=D814),"Both",IF(I814=C814,"Opus",IF(I814=D814,"Sonnet","Neither"))))</f>
        <v/>
      </c>
    </row>
    <row r="815">
      <c r="A815" t="inlineStr">
        <is>
          <t>R235</t>
        </is>
      </c>
      <c r="B815" t="inlineStr">
        <is>
          <t>Q6</t>
        </is>
      </c>
      <c r="C815" t="inlineStr">
        <is>
          <t>Partial</t>
        </is>
      </c>
      <c r="D815" t="inlineStr">
        <is>
          <t>Partial</t>
        </is>
      </c>
      <c r="E815">
        <f>VLOOKUP(C815,CategoryMap,2,0)</f>
        <v/>
      </c>
      <c r="F815">
        <f>VLOOKUP(D815,CategoryMap,2,0)</f>
        <v/>
      </c>
      <c r="G815">
        <f>ABS(E815-F815)</f>
        <v/>
      </c>
      <c r="H815">
        <f>IF(G815=0,"Yes","No")</f>
        <v/>
      </c>
      <c r="I815" t="inlineStr">
        <is>
          <t>Partial</t>
        </is>
      </c>
      <c r="J815">
        <f>IF(I815="","",IF(AND(I815=C815,I815=D815),"Both",IF(I815=C815,"Opus",IF(I815=D815,"Sonnet","Neither"))))</f>
        <v/>
      </c>
    </row>
    <row r="816">
      <c r="A816" t="inlineStr">
        <is>
          <t>R235</t>
        </is>
      </c>
      <c r="B816" t="inlineStr">
        <is>
          <t>Q7</t>
        </is>
      </c>
      <c r="C816" t="inlineStr">
        <is>
          <t>Yes</t>
        </is>
      </c>
      <c r="D816" t="inlineStr">
        <is>
          <t>Yes</t>
        </is>
      </c>
      <c r="E816">
        <f>VLOOKUP(C816,CategoryMap,2,0)</f>
        <v/>
      </c>
      <c r="F816">
        <f>VLOOKUP(D816,CategoryMap,2,0)</f>
        <v/>
      </c>
      <c r="G816">
        <f>ABS(E816-F816)</f>
        <v/>
      </c>
      <c r="H816">
        <f>IF(G816=0,"Yes","No")</f>
        <v/>
      </c>
      <c r="I816" t="inlineStr">
        <is>
          <t>Yes</t>
        </is>
      </c>
      <c r="J816">
        <f>IF(I816="","",IF(AND(I816=C816,I816=D816),"Both",IF(I816=C816,"Opus",IF(I816=D816,"Sonnet","Neither"))))</f>
        <v/>
      </c>
    </row>
    <row r="817">
      <c r="A817" t="inlineStr">
        <is>
          <t>R235</t>
        </is>
      </c>
      <c r="B817" t="inlineStr">
        <is>
          <t>Q8</t>
        </is>
      </c>
      <c r="C817" t="inlineStr">
        <is>
          <t>No</t>
        </is>
      </c>
      <c r="D817" t="inlineStr">
        <is>
          <t>No</t>
        </is>
      </c>
      <c r="E817">
        <f>VLOOKUP(C817,CategoryMap,2,0)</f>
        <v/>
      </c>
      <c r="F817">
        <f>VLOOKUP(D817,CategoryMap,2,0)</f>
        <v/>
      </c>
      <c r="G817">
        <f>ABS(E817-F817)</f>
        <v/>
      </c>
      <c r="H817">
        <f>IF(G817=0,"Yes","No")</f>
        <v/>
      </c>
      <c r="I817" t="inlineStr">
        <is>
          <t>No</t>
        </is>
      </c>
      <c r="J817">
        <f>IF(I817="","",IF(AND(I817=C817,I817=D817),"Both",IF(I817=C817,"Opus",IF(I817=D817,"Sonnet","Neither"))))</f>
        <v/>
      </c>
    </row>
    <row r="818">
      <c r="A818" t="inlineStr">
        <is>
          <t>R238</t>
        </is>
      </c>
      <c r="B818" t="inlineStr">
        <is>
          <t>Q1</t>
        </is>
      </c>
      <c r="C818" t="inlineStr">
        <is>
          <t>Yes</t>
        </is>
      </c>
      <c r="D818" t="inlineStr">
        <is>
          <t>Yes</t>
        </is>
      </c>
      <c r="E818">
        <f>VLOOKUP(C818,CategoryMap,2,0)</f>
        <v/>
      </c>
      <c r="F818">
        <f>VLOOKUP(D818,CategoryMap,2,0)</f>
        <v/>
      </c>
      <c r="G818">
        <f>ABS(E818-F818)</f>
        <v/>
      </c>
      <c r="H818">
        <f>IF(G818=0,"Yes","No")</f>
        <v/>
      </c>
      <c r="I818" t="inlineStr">
        <is>
          <t>Yes</t>
        </is>
      </c>
      <c r="J818">
        <f>IF(I818="","",IF(AND(I818=C818,I818=D818),"Both",IF(I818=C818,"Opus",IF(I818=D818,"Sonnet","Neither"))))</f>
        <v/>
      </c>
    </row>
    <row r="819">
      <c r="A819" t="inlineStr">
        <is>
          <t>R238</t>
        </is>
      </c>
      <c r="B819" t="inlineStr">
        <is>
          <t>Q2</t>
        </is>
      </c>
      <c r="C819" t="inlineStr">
        <is>
          <t>Partial</t>
        </is>
      </c>
      <c r="D819" t="inlineStr">
        <is>
          <t>Partial</t>
        </is>
      </c>
      <c r="E819">
        <f>VLOOKUP(C819,CategoryMap,2,0)</f>
        <v/>
      </c>
      <c r="F819">
        <f>VLOOKUP(D819,CategoryMap,2,0)</f>
        <v/>
      </c>
      <c r="G819">
        <f>ABS(E819-F819)</f>
        <v/>
      </c>
      <c r="H819">
        <f>IF(G819=0,"Yes","No")</f>
        <v/>
      </c>
      <c r="I819" t="inlineStr">
        <is>
          <t>Partial</t>
        </is>
      </c>
      <c r="J819">
        <f>IF(I819="","",IF(AND(I819=C819,I819=D819),"Both",IF(I819=C819,"Opus",IF(I819=D819,"Sonnet","Neither"))))</f>
        <v/>
      </c>
    </row>
    <row r="820">
      <c r="A820" t="inlineStr">
        <is>
          <t>R238</t>
        </is>
      </c>
      <c r="B820" t="inlineStr">
        <is>
          <t>Q3</t>
        </is>
      </c>
      <c r="C820" t="inlineStr">
        <is>
          <t>Yes</t>
        </is>
      </c>
      <c r="D820" t="inlineStr">
        <is>
          <t>Partial</t>
        </is>
      </c>
      <c r="E820">
        <f>VLOOKUP(C820,CategoryMap,2,0)</f>
        <v/>
      </c>
      <c r="F820">
        <f>VLOOKUP(D820,CategoryMap,2,0)</f>
        <v/>
      </c>
      <c r="G820">
        <f>ABS(E820-F820)</f>
        <v/>
      </c>
      <c r="H820">
        <f>IF(G820=0,"Yes","No")</f>
        <v/>
      </c>
      <c r="I820" t="inlineStr">
        <is>
          <t>Partial</t>
        </is>
      </c>
      <c r="J820">
        <f>IF(I820="","",IF(AND(I820=C820,I820=D820),"Both",IF(I820=C820,"Opus",IF(I820=D820,"Sonnet","Neither"))))</f>
        <v/>
      </c>
    </row>
    <row r="821">
      <c r="A821" t="inlineStr">
        <is>
          <t>R238</t>
        </is>
      </c>
      <c r="B821" t="inlineStr">
        <is>
          <t>Q4</t>
        </is>
      </c>
      <c r="C821" t="inlineStr">
        <is>
          <t>Partial</t>
        </is>
      </c>
      <c r="D821" t="inlineStr">
        <is>
          <t>Partial</t>
        </is>
      </c>
      <c r="E821">
        <f>VLOOKUP(C821,CategoryMap,2,0)</f>
        <v/>
      </c>
      <c r="F821">
        <f>VLOOKUP(D821,CategoryMap,2,0)</f>
        <v/>
      </c>
      <c r="G821">
        <f>ABS(E821-F821)</f>
        <v/>
      </c>
      <c r="H821">
        <f>IF(G821=0,"Yes","No")</f>
        <v/>
      </c>
      <c r="I821" t="inlineStr">
        <is>
          <t>Partial</t>
        </is>
      </c>
      <c r="J821">
        <f>IF(I821="","",IF(AND(I821=C821,I821=D821),"Both",IF(I821=C821,"Opus",IF(I821=D821,"Sonnet","Neither"))))</f>
        <v/>
      </c>
    </row>
    <row r="822">
      <c r="A822" t="inlineStr">
        <is>
          <t>R238</t>
        </is>
      </c>
      <c r="B822" t="inlineStr">
        <is>
          <t>Q5</t>
        </is>
      </c>
      <c r="C822" t="inlineStr">
        <is>
          <t>Yes</t>
        </is>
      </c>
      <c r="D822" t="inlineStr">
        <is>
          <t>Yes</t>
        </is>
      </c>
      <c r="E822">
        <f>VLOOKUP(C822,CategoryMap,2,0)</f>
        <v/>
      </c>
      <c r="F822">
        <f>VLOOKUP(D822,CategoryMap,2,0)</f>
        <v/>
      </c>
      <c r="G822">
        <f>ABS(E822-F822)</f>
        <v/>
      </c>
      <c r="H822">
        <f>IF(G822=0,"Yes","No")</f>
        <v/>
      </c>
      <c r="I822" t="inlineStr">
        <is>
          <t>Yes</t>
        </is>
      </c>
      <c r="J822">
        <f>IF(I822="","",IF(AND(I822=C822,I822=D822),"Both",IF(I822=C822,"Opus",IF(I822=D822,"Sonnet","Neither"))))</f>
        <v/>
      </c>
    </row>
    <row r="823">
      <c r="A823" t="inlineStr">
        <is>
          <t>R238</t>
        </is>
      </c>
      <c r="B823" t="inlineStr">
        <is>
          <t>Q6</t>
        </is>
      </c>
      <c r="C823" t="inlineStr">
        <is>
          <t>Yes</t>
        </is>
      </c>
      <c r="D823" t="inlineStr">
        <is>
          <t>Yes</t>
        </is>
      </c>
      <c r="E823">
        <f>VLOOKUP(C823,CategoryMap,2,0)</f>
        <v/>
      </c>
      <c r="F823">
        <f>VLOOKUP(D823,CategoryMap,2,0)</f>
        <v/>
      </c>
      <c r="G823">
        <f>ABS(E823-F823)</f>
        <v/>
      </c>
      <c r="H823">
        <f>IF(G823=0,"Yes","No")</f>
        <v/>
      </c>
      <c r="I823" t="inlineStr">
        <is>
          <t>Yes</t>
        </is>
      </c>
      <c r="J823">
        <f>IF(I823="","",IF(AND(I823=C823,I823=D823),"Both",IF(I823=C823,"Opus",IF(I823=D823,"Sonnet","Neither"))))</f>
        <v/>
      </c>
    </row>
    <row r="824">
      <c r="A824" t="inlineStr">
        <is>
          <t>R238</t>
        </is>
      </c>
      <c r="B824" t="inlineStr">
        <is>
          <t>Q7</t>
        </is>
      </c>
      <c r="C824" t="inlineStr">
        <is>
          <t>Yes</t>
        </is>
      </c>
      <c r="D824" t="inlineStr">
        <is>
          <t>Yes</t>
        </is>
      </c>
      <c r="E824">
        <f>VLOOKUP(C824,CategoryMap,2,0)</f>
        <v/>
      </c>
      <c r="F824">
        <f>VLOOKUP(D824,CategoryMap,2,0)</f>
        <v/>
      </c>
      <c r="G824">
        <f>ABS(E824-F824)</f>
        <v/>
      </c>
      <c r="H824">
        <f>IF(G824=0,"Yes","No")</f>
        <v/>
      </c>
      <c r="I824" t="inlineStr">
        <is>
          <t>Yes</t>
        </is>
      </c>
      <c r="J824">
        <f>IF(I824="","",IF(AND(I824=C824,I824=D824),"Both",IF(I824=C824,"Opus",IF(I824=D824,"Sonnet","Neither"))))</f>
        <v/>
      </c>
    </row>
    <row r="825">
      <c r="A825" t="inlineStr">
        <is>
          <t>R238</t>
        </is>
      </c>
      <c r="B825" t="inlineStr">
        <is>
          <t>Q8</t>
        </is>
      </c>
      <c r="C825" t="inlineStr">
        <is>
          <t>Partial</t>
        </is>
      </c>
      <c r="D825" t="inlineStr">
        <is>
          <t>Partial</t>
        </is>
      </c>
      <c r="E825">
        <f>VLOOKUP(C825,CategoryMap,2,0)</f>
        <v/>
      </c>
      <c r="F825">
        <f>VLOOKUP(D825,CategoryMap,2,0)</f>
        <v/>
      </c>
      <c r="G825">
        <f>ABS(E825-F825)</f>
        <v/>
      </c>
      <c r="H825">
        <f>IF(G825=0,"Yes","No")</f>
        <v/>
      </c>
      <c r="I825" t="inlineStr">
        <is>
          <t>No</t>
        </is>
      </c>
      <c r="J825">
        <f>IF(I825="","",IF(AND(I825=C825,I825=D825),"Both",IF(I825=C825,"Opus",IF(I825=D825,"Sonnet","Neither"))))</f>
        <v/>
      </c>
    </row>
    <row r="826">
      <c r="A826" t="inlineStr">
        <is>
          <t>R240</t>
        </is>
      </c>
      <c r="B826" t="inlineStr">
        <is>
          <t>Q1</t>
        </is>
      </c>
      <c r="C826" t="inlineStr">
        <is>
          <t>Partial</t>
        </is>
      </c>
      <c r="D826" t="inlineStr">
        <is>
          <t>Partial</t>
        </is>
      </c>
      <c r="E826">
        <f>VLOOKUP(C826,CategoryMap,2,0)</f>
        <v/>
      </c>
      <c r="F826">
        <f>VLOOKUP(D826,CategoryMap,2,0)</f>
        <v/>
      </c>
      <c r="G826">
        <f>ABS(E826-F826)</f>
        <v/>
      </c>
      <c r="H826">
        <f>IF(G826=0,"Yes","No")</f>
        <v/>
      </c>
      <c r="I826" t="inlineStr">
        <is>
          <t>Partial</t>
        </is>
      </c>
      <c r="J826">
        <f>IF(I826="","",IF(AND(I826=C826,I826=D826),"Both",IF(I826=C826,"Opus",IF(I826=D826,"Sonnet","Neither"))))</f>
        <v/>
      </c>
    </row>
    <row r="827">
      <c r="A827" t="inlineStr">
        <is>
          <t>R240</t>
        </is>
      </c>
      <c r="B827" t="inlineStr">
        <is>
          <t>Q2</t>
        </is>
      </c>
      <c r="C827" t="inlineStr">
        <is>
          <t>No</t>
        </is>
      </c>
      <c r="D827" t="inlineStr">
        <is>
          <t>No</t>
        </is>
      </c>
      <c r="E827">
        <f>VLOOKUP(C827,CategoryMap,2,0)</f>
        <v/>
      </c>
      <c r="F827">
        <f>VLOOKUP(D827,CategoryMap,2,0)</f>
        <v/>
      </c>
      <c r="G827">
        <f>ABS(E827-F827)</f>
        <v/>
      </c>
      <c r="H827">
        <f>IF(G827=0,"Yes","No")</f>
        <v/>
      </c>
      <c r="I827" t="inlineStr">
        <is>
          <t>No</t>
        </is>
      </c>
      <c r="J827">
        <f>IF(I827="","",IF(AND(I827=C827,I827=D827),"Both",IF(I827=C827,"Opus",IF(I827=D827,"Sonnet","Neither"))))</f>
        <v/>
      </c>
    </row>
    <row r="828">
      <c r="A828" t="inlineStr">
        <is>
          <t>R240</t>
        </is>
      </c>
      <c r="B828" t="inlineStr">
        <is>
          <t>Q3</t>
        </is>
      </c>
      <c r="C828" t="inlineStr">
        <is>
          <t>Yes</t>
        </is>
      </c>
      <c r="D828" t="inlineStr">
        <is>
          <t>Yes</t>
        </is>
      </c>
      <c r="E828">
        <f>VLOOKUP(C828,CategoryMap,2,0)</f>
        <v/>
      </c>
      <c r="F828">
        <f>VLOOKUP(D828,CategoryMap,2,0)</f>
        <v/>
      </c>
      <c r="G828">
        <f>ABS(E828-F828)</f>
        <v/>
      </c>
      <c r="H828">
        <f>IF(G828=0,"Yes","No")</f>
        <v/>
      </c>
      <c r="I828" t="inlineStr">
        <is>
          <t>Yes</t>
        </is>
      </c>
      <c r="J828">
        <f>IF(I828="","",IF(AND(I828=C828,I828=D828),"Both",IF(I828=C828,"Opus",IF(I828=D828,"Sonnet","Neither"))))</f>
        <v/>
      </c>
    </row>
    <row r="829">
      <c r="A829" t="inlineStr">
        <is>
          <t>R240</t>
        </is>
      </c>
      <c r="B829" t="inlineStr">
        <is>
          <t>Q4</t>
        </is>
      </c>
      <c r="C829" t="inlineStr">
        <is>
          <t>Partial</t>
        </is>
      </c>
      <c r="D829" t="inlineStr">
        <is>
          <t>Partial</t>
        </is>
      </c>
      <c r="E829">
        <f>VLOOKUP(C829,CategoryMap,2,0)</f>
        <v/>
      </c>
      <c r="F829">
        <f>VLOOKUP(D829,CategoryMap,2,0)</f>
        <v/>
      </c>
      <c r="G829">
        <f>ABS(E829-F829)</f>
        <v/>
      </c>
      <c r="H829">
        <f>IF(G829=0,"Yes","No")</f>
        <v/>
      </c>
      <c r="I829" t="inlineStr">
        <is>
          <t>Partial</t>
        </is>
      </c>
      <c r="J829">
        <f>IF(I829="","",IF(AND(I829=C829,I829=D829),"Both",IF(I829=C829,"Opus",IF(I829=D829,"Sonnet","Neither"))))</f>
        <v/>
      </c>
    </row>
    <row r="830">
      <c r="A830" t="inlineStr">
        <is>
          <t>R240</t>
        </is>
      </c>
      <c r="B830" t="inlineStr">
        <is>
          <t>Q5</t>
        </is>
      </c>
      <c r="C830" t="inlineStr">
        <is>
          <t>Yes</t>
        </is>
      </c>
      <c r="D830" t="inlineStr">
        <is>
          <t>Yes</t>
        </is>
      </c>
      <c r="E830">
        <f>VLOOKUP(C830,CategoryMap,2,0)</f>
        <v/>
      </c>
      <c r="F830">
        <f>VLOOKUP(D830,CategoryMap,2,0)</f>
        <v/>
      </c>
      <c r="G830">
        <f>ABS(E830-F830)</f>
        <v/>
      </c>
      <c r="H830">
        <f>IF(G830=0,"Yes","No")</f>
        <v/>
      </c>
      <c r="I830" t="inlineStr">
        <is>
          <t>Yes</t>
        </is>
      </c>
      <c r="J830">
        <f>IF(I830="","",IF(AND(I830=C830,I830=D830),"Both",IF(I830=C830,"Opus",IF(I830=D830,"Sonnet","Neither"))))</f>
        <v/>
      </c>
    </row>
    <row r="831">
      <c r="A831" t="inlineStr">
        <is>
          <t>R240</t>
        </is>
      </c>
      <c r="B831" t="inlineStr">
        <is>
          <t>Q6</t>
        </is>
      </c>
      <c r="C831" t="inlineStr">
        <is>
          <t>Yes</t>
        </is>
      </c>
      <c r="D831" t="inlineStr">
        <is>
          <t>Yes</t>
        </is>
      </c>
      <c r="E831">
        <f>VLOOKUP(C831,CategoryMap,2,0)</f>
        <v/>
      </c>
      <c r="F831">
        <f>VLOOKUP(D831,CategoryMap,2,0)</f>
        <v/>
      </c>
      <c r="G831">
        <f>ABS(E831-F831)</f>
        <v/>
      </c>
      <c r="H831">
        <f>IF(G831=0,"Yes","No")</f>
        <v/>
      </c>
      <c r="I831" t="inlineStr">
        <is>
          <t>Yes</t>
        </is>
      </c>
      <c r="J831">
        <f>IF(I831="","",IF(AND(I831=C831,I831=D831),"Both",IF(I831=C831,"Opus",IF(I831=D831,"Sonnet","Neither"))))</f>
        <v/>
      </c>
    </row>
    <row r="832">
      <c r="A832" t="inlineStr">
        <is>
          <t>R240</t>
        </is>
      </c>
      <c r="B832" t="inlineStr">
        <is>
          <t>Q7</t>
        </is>
      </c>
      <c r="C832" t="inlineStr">
        <is>
          <t>Partial</t>
        </is>
      </c>
      <c r="D832" t="inlineStr">
        <is>
          <t>No</t>
        </is>
      </c>
      <c r="E832">
        <f>VLOOKUP(C832,CategoryMap,2,0)</f>
        <v/>
      </c>
      <c r="F832">
        <f>VLOOKUP(D832,CategoryMap,2,0)</f>
        <v/>
      </c>
      <c r="G832">
        <f>ABS(E832-F832)</f>
        <v/>
      </c>
      <c r="H832">
        <f>IF(G832=0,"Yes","No")</f>
        <v/>
      </c>
      <c r="I832" t="inlineStr">
        <is>
          <t>No</t>
        </is>
      </c>
      <c r="J832">
        <f>IF(I832="","",IF(AND(I832=C832,I832=D832),"Both",IF(I832=C832,"Opus",IF(I832=D832,"Sonnet","Neither"))))</f>
        <v/>
      </c>
    </row>
    <row r="833">
      <c r="A833" t="inlineStr">
        <is>
          <t>R240</t>
        </is>
      </c>
      <c r="B833" t="inlineStr">
        <is>
          <t>Q8</t>
        </is>
      </c>
      <c r="C833" t="inlineStr">
        <is>
          <t>Partial</t>
        </is>
      </c>
      <c r="D833" t="inlineStr">
        <is>
          <t>Partial</t>
        </is>
      </c>
      <c r="E833">
        <f>VLOOKUP(C833,CategoryMap,2,0)</f>
        <v/>
      </c>
      <c r="F833">
        <f>VLOOKUP(D833,CategoryMap,2,0)</f>
        <v/>
      </c>
      <c r="G833">
        <f>ABS(E833-F833)</f>
        <v/>
      </c>
      <c r="H833">
        <f>IF(G833=0,"Yes","No")</f>
        <v/>
      </c>
      <c r="I833" t="inlineStr">
        <is>
          <t>Partial</t>
        </is>
      </c>
      <c r="J833">
        <f>IF(I833="","",IF(AND(I833=C833,I833=D833),"Both",IF(I833=C833,"Opus",IF(I833=D833,"Sonnet","Neither"))))</f>
        <v/>
      </c>
    </row>
    <row r="834">
      <c r="A834" t="inlineStr">
        <is>
          <t>R241</t>
        </is>
      </c>
      <c r="B834" t="inlineStr">
        <is>
          <t>Q1</t>
        </is>
      </c>
      <c r="C834" t="inlineStr">
        <is>
          <t>Partial</t>
        </is>
      </c>
      <c r="D834" t="inlineStr">
        <is>
          <t>Partial</t>
        </is>
      </c>
      <c r="E834">
        <f>VLOOKUP(C834,CategoryMap,2,0)</f>
        <v/>
      </c>
      <c r="F834">
        <f>VLOOKUP(D834,CategoryMap,2,0)</f>
        <v/>
      </c>
      <c r="G834">
        <f>ABS(E834-F834)</f>
        <v/>
      </c>
      <c r="H834">
        <f>IF(G834=0,"Yes","No")</f>
        <v/>
      </c>
      <c r="I834" t="inlineStr">
        <is>
          <t>Partial</t>
        </is>
      </c>
      <c r="J834">
        <f>IF(I834="","",IF(AND(I834=C834,I834=D834),"Both",IF(I834=C834,"Opus",IF(I834=D834,"Sonnet","Neither"))))</f>
        <v/>
      </c>
    </row>
    <row r="835">
      <c r="A835" t="inlineStr">
        <is>
          <t>R241</t>
        </is>
      </c>
      <c r="B835" t="inlineStr">
        <is>
          <t>Q2</t>
        </is>
      </c>
      <c r="C835" t="inlineStr">
        <is>
          <t>Partial</t>
        </is>
      </c>
      <c r="D835" t="inlineStr">
        <is>
          <t>No</t>
        </is>
      </c>
      <c r="E835">
        <f>VLOOKUP(C835,CategoryMap,2,0)</f>
        <v/>
      </c>
      <c r="F835">
        <f>VLOOKUP(D835,CategoryMap,2,0)</f>
        <v/>
      </c>
      <c r="G835">
        <f>ABS(E835-F835)</f>
        <v/>
      </c>
      <c r="H835">
        <f>IF(G835=0,"Yes","No")</f>
        <v/>
      </c>
      <c r="I835" t="inlineStr">
        <is>
          <t>No</t>
        </is>
      </c>
      <c r="J835">
        <f>IF(I835="","",IF(AND(I835=C835,I835=D835),"Both",IF(I835=C835,"Opus",IF(I835=D835,"Sonnet","Neither"))))</f>
        <v/>
      </c>
    </row>
    <row r="836">
      <c r="A836" t="inlineStr">
        <is>
          <t>R241</t>
        </is>
      </c>
      <c r="B836" t="inlineStr">
        <is>
          <t>Q3</t>
        </is>
      </c>
      <c r="C836" t="inlineStr">
        <is>
          <t>Partial</t>
        </is>
      </c>
      <c r="D836" t="inlineStr">
        <is>
          <t>Partial</t>
        </is>
      </c>
      <c r="E836">
        <f>VLOOKUP(C836,CategoryMap,2,0)</f>
        <v/>
      </c>
      <c r="F836">
        <f>VLOOKUP(D836,CategoryMap,2,0)</f>
        <v/>
      </c>
      <c r="G836">
        <f>ABS(E836-F836)</f>
        <v/>
      </c>
      <c r="H836">
        <f>IF(G836=0,"Yes","No")</f>
        <v/>
      </c>
      <c r="I836" t="inlineStr">
        <is>
          <t>Partial</t>
        </is>
      </c>
      <c r="J836">
        <f>IF(I836="","",IF(AND(I836=C836,I836=D836),"Both",IF(I836=C836,"Opus",IF(I836=D836,"Sonnet","Neither"))))</f>
        <v/>
      </c>
    </row>
    <row r="837">
      <c r="A837" t="inlineStr">
        <is>
          <t>R241</t>
        </is>
      </c>
      <c r="B837" t="inlineStr">
        <is>
          <t>Q4</t>
        </is>
      </c>
      <c r="C837" t="inlineStr">
        <is>
          <t>Partial</t>
        </is>
      </c>
      <c r="D837" t="inlineStr">
        <is>
          <t>Partial</t>
        </is>
      </c>
      <c r="E837">
        <f>VLOOKUP(C837,CategoryMap,2,0)</f>
        <v/>
      </c>
      <c r="F837">
        <f>VLOOKUP(D837,CategoryMap,2,0)</f>
        <v/>
      </c>
      <c r="G837">
        <f>ABS(E837-F837)</f>
        <v/>
      </c>
      <c r="H837">
        <f>IF(G837=0,"Yes","No")</f>
        <v/>
      </c>
      <c r="I837" t="inlineStr">
        <is>
          <t>Partial</t>
        </is>
      </c>
      <c r="J837">
        <f>IF(I837="","",IF(AND(I837=C837,I837=D837),"Both",IF(I837=C837,"Opus",IF(I837=D837,"Sonnet","Neither"))))</f>
        <v/>
      </c>
    </row>
    <row r="838">
      <c r="A838" t="inlineStr">
        <is>
          <t>R241</t>
        </is>
      </c>
      <c r="B838" t="inlineStr">
        <is>
          <t>Q5</t>
        </is>
      </c>
      <c r="C838" t="inlineStr">
        <is>
          <t>Yes</t>
        </is>
      </c>
      <c r="D838" t="inlineStr">
        <is>
          <t>Yes</t>
        </is>
      </c>
      <c r="E838">
        <f>VLOOKUP(C838,CategoryMap,2,0)</f>
        <v/>
      </c>
      <c r="F838">
        <f>VLOOKUP(D838,CategoryMap,2,0)</f>
        <v/>
      </c>
      <c r="G838">
        <f>ABS(E838-F838)</f>
        <v/>
      </c>
      <c r="H838">
        <f>IF(G838=0,"Yes","No")</f>
        <v/>
      </c>
      <c r="I838" t="inlineStr">
        <is>
          <t>Yes</t>
        </is>
      </c>
      <c r="J838">
        <f>IF(I838="","",IF(AND(I838=C838,I838=D838),"Both",IF(I838=C838,"Opus",IF(I838=D838,"Sonnet","Neither"))))</f>
        <v/>
      </c>
    </row>
    <row r="839">
      <c r="A839" t="inlineStr">
        <is>
          <t>R241</t>
        </is>
      </c>
      <c r="B839" t="inlineStr">
        <is>
          <t>Q6</t>
        </is>
      </c>
      <c r="C839" t="inlineStr">
        <is>
          <t>Yes</t>
        </is>
      </c>
      <c r="D839" t="inlineStr">
        <is>
          <t>Yes</t>
        </is>
      </c>
      <c r="E839">
        <f>VLOOKUP(C839,CategoryMap,2,0)</f>
        <v/>
      </c>
      <c r="F839">
        <f>VLOOKUP(D839,CategoryMap,2,0)</f>
        <v/>
      </c>
      <c r="G839">
        <f>ABS(E839-F839)</f>
        <v/>
      </c>
      <c r="H839">
        <f>IF(G839=0,"Yes","No")</f>
        <v/>
      </c>
      <c r="I839" t="inlineStr">
        <is>
          <t>Yes</t>
        </is>
      </c>
      <c r="J839">
        <f>IF(I839="","",IF(AND(I839=C839,I839=D839),"Both",IF(I839=C839,"Opus",IF(I839=D839,"Sonnet","Neither"))))</f>
        <v/>
      </c>
    </row>
    <row r="840">
      <c r="A840" t="inlineStr">
        <is>
          <t>R241</t>
        </is>
      </c>
      <c r="B840" t="inlineStr">
        <is>
          <t>Q7</t>
        </is>
      </c>
      <c r="C840" t="inlineStr">
        <is>
          <t>No</t>
        </is>
      </c>
      <c r="D840" t="inlineStr">
        <is>
          <t>No</t>
        </is>
      </c>
      <c r="E840">
        <f>VLOOKUP(C840,CategoryMap,2,0)</f>
        <v/>
      </c>
      <c r="F840">
        <f>VLOOKUP(D840,CategoryMap,2,0)</f>
        <v/>
      </c>
      <c r="G840">
        <f>ABS(E840-F840)</f>
        <v/>
      </c>
      <c r="H840">
        <f>IF(G840=0,"Yes","No")</f>
        <v/>
      </c>
      <c r="I840" t="inlineStr">
        <is>
          <t>No</t>
        </is>
      </c>
      <c r="J840">
        <f>IF(I840="","",IF(AND(I840=C840,I840=D840),"Both",IF(I840=C840,"Opus",IF(I840=D840,"Sonnet","Neither"))))</f>
        <v/>
      </c>
    </row>
    <row r="841">
      <c r="A841" t="inlineStr">
        <is>
          <t>R241</t>
        </is>
      </c>
      <c r="B841" t="inlineStr">
        <is>
          <t>Q8</t>
        </is>
      </c>
      <c r="C841" t="inlineStr">
        <is>
          <t>Partial</t>
        </is>
      </c>
      <c r="D841" t="inlineStr">
        <is>
          <t>No</t>
        </is>
      </c>
      <c r="E841">
        <f>VLOOKUP(C841,CategoryMap,2,0)</f>
        <v/>
      </c>
      <c r="F841">
        <f>VLOOKUP(D841,CategoryMap,2,0)</f>
        <v/>
      </c>
      <c r="G841">
        <f>ABS(E841-F841)</f>
        <v/>
      </c>
      <c r="H841">
        <f>IF(G841=0,"Yes","No")</f>
        <v/>
      </c>
      <c r="I841" t="inlineStr">
        <is>
          <t>No</t>
        </is>
      </c>
      <c r="J841">
        <f>IF(I841="","",IF(AND(I841=C841,I841=D841),"Both",IF(I841=C841,"Opus",IF(I841=D841,"Sonnet","Neither"))))</f>
        <v/>
      </c>
    </row>
    <row r="842">
      <c r="A842" t="inlineStr">
        <is>
          <t>R242</t>
        </is>
      </c>
      <c r="B842" t="inlineStr">
        <is>
          <t>Q1</t>
        </is>
      </c>
      <c r="C842" t="inlineStr">
        <is>
          <t>Partial</t>
        </is>
      </c>
      <c r="D842" t="inlineStr">
        <is>
          <t>No</t>
        </is>
      </c>
      <c r="E842">
        <f>VLOOKUP(C842,CategoryMap,2,0)</f>
        <v/>
      </c>
      <c r="F842">
        <f>VLOOKUP(D842,CategoryMap,2,0)</f>
        <v/>
      </c>
      <c r="G842">
        <f>ABS(E842-F842)</f>
        <v/>
      </c>
      <c r="H842">
        <f>IF(G842=0,"Yes","No")</f>
        <v/>
      </c>
      <c r="I842" t="inlineStr">
        <is>
          <t>No</t>
        </is>
      </c>
      <c r="J842">
        <f>IF(I842="","",IF(AND(I842=C842,I842=D842),"Both",IF(I842=C842,"Opus",IF(I842=D842,"Sonnet","Neither"))))</f>
        <v/>
      </c>
    </row>
    <row r="843">
      <c r="A843" t="inlineStr">
        <is>
          <t>R242</t>
        </is>
      </c>
      <c r="B843" t="inlineStr">
        <is>
          <t>Q2</t>
        </is>
      </c>
      <c r="C843" t="inlineStr">
        <is>
          <t>Partial</t>
        </is>
      </c>
      <c r="D843" t="inlineStr">
        <is>
          <t>No</t>
        </is>
      </c>
      <c r="E843">
        <f>VLOOKUP(C843,CategoryMap,2,0)</f>
        <v/>
      </c>
      <c r="F843">
        <f>VLOOKUP(D843,CategoryMap,2,0)</f>
        <v/>
      </c>
      <c r="G843">
        <f>ABS(E843-F843)</f>
        <v/>
      </c>
      <c r="H843">
        <f>IF(G843=0,"Yes","No")</f>
        <v/>
      </c>
      <c r="I843" t="inlineStr">
        <is>
          <t>No</t>
        </is>
      </c>
      <c r="J843">
        <f>IF(I843="","",IF(AND(I843=C843,I843=D843),"Both",IF(I843=C843,"Opus",IF(I843=D843,"Sonnet","Neither"))))</f>
        <v/>
      </c>
    </row>
    <row r="844">
      <c r="A844" t="inlineStr">
        <is>
          <t>R242</t>
        </is>
      </c>
      <c r="B844" t="inlineStr">
        <is>
          <t>Q3</t>
        </is>
      </c>
      <c r="C844" t="inlineStr">
        <is>
          <t>Partial</t>
        </is>
      </c>
      <c r="D844" t="inlineStr">
        <is>
          <t>No</t>
        </is>
      </c>
      <c r="E844">
        <f>VLOOKUP(C844,CategoryMap,2,0)</f>
        <v/>
      </c>
      <c r="F844">
        <f>VLOOKUP(D844,CategoryMap,2,0)</f>
        <v/>
      </c>
      <c r="G844">
        <f>ABS(E844-F844)</f>
        <v/>
      </c>
      <c r="H844">
        <f>IF(G844=0,"Yes","No")</f>
        <v/>
      </c>
      <c r="I844" t="inlineStr">
        <is>
          <t>Partial</t>
        </is>
      </c>
      <c r="J844">
        <f>IF(I844="","",IF(AND(I844=C844,I844=D844),"Both",IF(I844=C844,"Opus",IF(I844=D844,"Sonnet","Neither"))))</f>
        <v/>
      </c>
    </row>
    <row r="845">
      <c r="A845" t="inlineStr">
        <is>
          <t>R242</t>
        </is>
      </c>
      <c r="B845" t="inlineStr">
        <is>
          <t>Q4</t>
        </is>
      </c>
      <c r="C845" t="inlineStr">
        <is>
          <t>Partial</t>
        </is>
      </c>
      <c r="D845" t="inlineStr">
        <is>
          <t>Yes</t>
        </is>
      </c>
      <c r="E845">
        <f>VLOOKUP(C845,CategoryMap,2,0)</f>
        <v/>
      </c>
      <c r="F845">
        <f>VLOOKUP(D845,CategoryMap,2,0)</f>
        <v/>
      </c>
      <c r="G845">
        <f>ABS(E845-F845)</f>
        <v/>
      </c>
      <c r="H845">
        <f>IF(G845=0,"Yes","No")</f>
        <v/>
      </c>
      <c r="I845" t="inlineStr">
        <is>
          <t>Yes</t>
        </is>
      </c>
      <c r="J845">
        <f>IF(I845="","",IF(AND(I845=C845,I845=D845),"Both",IF(I845=C845,"Opus",IF(I845=D845,"Sonnet","Neither"))))</f>
        <v/>
      </c>
    </row>
    <row r="846">
      <c r="A846" t="inlineStr">
        <is>
          <t>R242</t>
        </is>
      </c>
      <c r="B846" t="inlineStr">
        <is>
          <t>Q5</t>
        </is>
      </c>
      <c r="C846" t="inlineStr">
        <is>
          <t>Yes</t>
        </is>
      </c>
      <c r="D846" t="inlineStr">
        <is>
          <t>Yes</t>
        </is>
      </c>
      <c r="E846">
        <f>VLOOKUP(C846,CategoryMap,2,0)</f>
        <v/>
      </c>
      <c r="F846">
        <f>VLOOKUP(D846,CategoryMap,2,0)</f>
        <v/>
      </c>
      <c r="G846">
        <f>ABS(E846-F846)</f>
        <v/>
      </c>
      <c r="H846">
        <f>IF(G846=0,"Yes","No")</f>
        <v/>
      </c>
      <c r="I846" t="inlineStr">
        <is>
          <t>Yes</t>
        </is>
      </c>
      <c r="J846">
        <f>IF(I846="","",IF(AND(I846=C846,I846=D846),"Both",IF(I846=C846,"Opus",IF(I846=D846,"Sonnet","Neither"))))</f>
        <v/>
      </c>
    </row>
    <row r="847">
      <c r="A847" t="inlineStr">
        <is>
          <t>R242</t>
        </is>
      </c>
      <c r="B847" t="inlineStr">
        <is>
          <t>Q6</t>
        </is>
      </c>
      <c r="C847" t="inlineStr">
        <is>
          <t>Yes</t>
        </is>
      </c>
      <c r="D847" t="inlineStr">
        <is>
          <t>Yes</t>
        </is>
      </c>
      <c r="E847">
        <f>VLOOKUP(C847,CategoryMap,2,0)</f>
        <v/>
      </c>
      <c r="F847">
        <f>VLOOKUP(D847,CategoryMap,2,0)</f>
        <v/>
      </c>
      <c r="G847">
        <f>ABS(E847-F847)</f>
        <v/>
      </c>
      <c r="H847">
        <f>IF(G847=0,"Yes","No")</f>
        <v/>
      </c>
      <c r="I847" t="inlineStr">
        <is>
          <t>Yes</t>
        </is>
      </c>
      <c r="J847">
        <f>IF(I847="","",IF(AND(I847=C847,I847=D847),"Both",IF(I847=C847,"Opus",IF(I847=D847,"Sonnet","Neither"))))</f>
        <v/>
      </c>
    </row>
    <row r="848">
      <c r="A848" t="inlineStr">
        <is>
          <t>R242</t>
        </is>
      </c>
      <c r="B848" t="inlineStr">
        <is>
          <t>Q7</t>
        </is>
      </c>
      <c r="C848" t="inlineStr">
        <is>
          <t>No</t>
        </is>
      </c>
      <c r="D848" t="inlineStr">
        <is>
          <t>No</t>
        </is>
      </c>
      <c r="E848">
        <f>VLOOKUP(C848,CategoryMap,2,0)</f>
        <v/>
      </c>
      <c r="F848">
        <f>VLOOKUP(D848,CategoryMap,2,0)</f>
        <v/>
      </c>
      <c r="G848">
        <f>ABS(E848-F848)</f>
        <v/>
      </c>
      <c r="H848">
        <f>IF(G848=0,"Yes","No")</f>
        <v/>
      </c>
      <c r="I848" t="inlineStr">
        <is>
          <t>No</t>
        </is>
      </c>
      <c r="J848">
        <f>IF(I848="","",IF(AND(I848=C848,I848=D848),"Both",IF(I848=C848,"Opus",IF(I848=D848,"Sonnet","Neither"))))</f>
        <v/>
      </c>
    </row>
    <row r="849">
      <c r="A849" t="inlineStr">
        <is>
          <t>R242</t>
        </is>
      </c>
      <c r="B849" t="inlineStr">
        <is>
          <t>Q8</t>
        </is>
      </c>
      <c r="C849" t="inlineStr">
        <is>
          <t>Partial</t>
        </is>
      </c>
      <c r="D849" t="inlineStr">
        <is>
          <t>No</t>
        </is>
      </c>
      <c r="E849">
        <f>VLOOKUP(C849,CategoryMap,2,0)</f>
        <v/>
      </c>
      <c r="F849">
        <f>VLOOKUP(D849,CategoryMap,2,0)</f>
        <v/>
      </c>
      <c r="G849">
        <f>ABS(E849-F849)</f>
        <v/>
      </c>
      <c r="H849">
        <f>IF(G849=0,"Yes","No")</f>
        <v/>
      </c>
      <c r="I849" t="inlineStr">
        <is>
          <t>Partial</t>
        </is>
      </c>
      <c r="J849">
        <f>IF(I849="","",IF(AND(I849=C849,I849=D849),"Both",IF(I849=C849,"Opus",IF(I849=D849,"Sonnet","Neither"))))</f>
        <v/>
      </c>
    </row>
    <row r="850">
      <c r="A850" t="inlineStr">
        <is>
          <t>R246</t>
        </is>
      </c>
      <c r="B850" t="inlineStr">
        <is>
          <t>Q1</t>
        </is>
      </c>
      <c r="C850" t="inlineStr">
        <is>
          <t>Partial</t>
        </is>
      </c>
      <c r="D850" t="inlineStr">
        <is>
          <t>No</t>
        </is>
      </c>
      <c r="E850">
        <f>VLOOKUP(C850,CategoryMap,2,0)</f>
        <v/>
      </c>
      <c r="F850">
        <f>VLOOKUP(D850,CategoryMap,2,0)</f>
        <v/>
      </c>
      <c r="G850">
        <f>ABS(E850-F850)</f>
        <v/>
      </c>
      <c r="H850">
        <f>IF(G850=0,"Yes","No")</f>
        <v/>
      </c>
      <c r="I850" t="inlineStr">
        <is>
          <t>No</t>
        </is>
      </c>
      <c r="J850">
        <f>IF(I850="","",IF(AND(I850=C850,I850=D850),"Both",IF(I850=C850,"Opus",IF(I850=D850,"Sonnet","Neither"))))</f>
        <v/>
      </c>
    </row>
    <row r="851">
      <c r="A851" t="inlineStr">
        <is>
          <t>R246</t>
        </is>
      </c>
      <c r="B851" t="inlineStr">
        <is>
          <t>Q2</t>
        </is>
      </c>
      <c r="C851" t="inlineStr">
        <is>
          <t>Partial</t>
        </is>
      </c>
      <c r="D851" t="inlineStr">
        <is>
          <t>No</t>
        </is>
      </c>
      <c r="E851">
        <f>VLOOKUP(C851,CategoryMap,2,0)</f>
        <v/>
      </c>
      <c r="F851">
        <f>VLOOKUP(D851,CategoryMap,2,0)</f>
        <v/>
      </c>
      <c r="G851">
        <f>ABS(E851-F851)</f>
        <v/>
      </c>
      <c r="H851">
        <f>IF(G851=0,"Yes","No")</f>
        <v/>
      </c>
      <c r="I851" t="inlineStr">
        <is>
          <t>No</t>
        </is>
      </c>
      <c r="J851">
        <f>IF(I851="","",IF(AND(I851=C851,I851=D851),"Both",IF(I851=C851,"Opus",IF(I851=D851,"Sonnet","Neither"))))</f>
        <v/>
      </c>
    </row>
    <row r="852">
      <c r="A852" t="inlineStr">
        <is>
          <t>R246</t>
        </is>
      </c>
      <c r="B852" t="inlineStr">
        <is>
          <t>Q3</t>
        </is>
      </c>
      <c r="C852" t="inlineStr">
        <is>
          <t>Partial</t>
        </is>
      </c>
      <c r="D852" t="inlineStr">
        <is>
          <t>No</t>
        </is>
      </c>
      <c r="E852">
        <f>VLOOKUP(C852,CategoryMap,2,0)</f>
        <v/>
      </c>
      <c r="F852">
        <f>VLOOKUP(D852,CategoryMap,2,0)</f>
        <v/>
      </c>
      <c r="G852">
        <f>ABS(E852-F852)</f>
        <v/>
      </c>
      <c r="H852">
        <f>IF(G852=0,"Yes","No")</f>
        <v/>
      </c>
      <c r="I852" t="inlineStr">
        <is>
          <t>No</t>
        </is>
      </c>
      <c r="J852">
        <f>IF(I852="","",IF(AND(I852=C852,I852=D852),"Both",IF(I852=C852,"Opus",IF(I852=D852,"Sonnet","Neither"))))</f>
        <v/>
      </c>
    </row>
    <row r="853">
      <c r="A853" t="inlineStr">
        <is>
          <t>R246</t>
        </is>
      </c>
      <c r="B853" t="inlineStr">
        <is>
          <t>Q4</t>
        </is>
      </c>
      <c r="C853" t="inlineStr">
        <is>
          <t>Partial</t>
        </is>
      </c>
      <c r="D853" t="inlineStr">
        <is>
          <t>Partial</t>
        </is>
      </c>
      <c r="E853">
        <f>VLOOKUP(C853,CategoryMap,2,0)</f>
        <v/>
      </c>
      <c r="F853">
        <f>VLOOKUP(D853,CategoryMap,2,0)</f>
        <v/>
      </c>
      <c r="G853">
        <f>ABS(E853-F853)</f>
        <v/>
      </c>
      <c r="H853">
        <f>IF(G853=0,"Yes","No")</f>
        <v/>
      </c>
      <c r="I853" t="inlineStr">
        <is>
          <t>Partial</t>
        </is>
      </c>
      <c r="J853">
        <f>IF(I853="","",IF(AND(I853=C853,I853=D853),"Both",IF(I853=C853,"Opus",IF(I853=D853,"Sonnet","Neither"))))</f>
        <v/>
      </c>
    </row>
    <row r="854">
      <c r="A854" t="inlineStr">
        <is>
          <t>R246</t>
        </is>
      </c>
      <c r="B854" t="inlineStr">
        <is>
          <t>Q5</t>
        </is>
      </c>
      <c r="C854" t="inlineStr">
        <is>
          <t>Yes</t>
        </is>
      </c>
      <c r="D854" t="inlineStr">
        <is>
          <t>Yes</t>
        </is>
      </c>
      <c r="E854">
        <f>VLOOKUP(C854,CategoryMap,2,0)</f>
        <v/>
      </c>
      <c r="F854">
        <f>VLOOKUP(D854,CategoryMap,2,0)</f>
        <v/>
      </c>
      <c r="G854">
        <f>ABS(E854-F854)</f>
        <v/>
      </c>
      <c r="H854">
        <f>IF(G854=0,"Yes","No")</f>
        <v/>
      </c>
      <c r="I854" t="inlineStr">
        <is>
          <t>Yes</t>
        </is>
      </c>
      <c r="J854">
        <f>IF(I854="","",IF(AND(I854=C854,I854=D854),"Both",IF(I854=C854,"Opus",IF(I854=D854,"Sonnet","Neither"))))</f>
        <v/>
      </c>
    </row>
    <row r="855">
      <c r="A855" t="inlineStr">
        <is>
          <t>R246</t>
        </is>
      </c>
      <c r="B855" t="inlineStr">
        <is>
          <t>Q6</t>
        </is>
      </c>
      <c r="C855" t="inlineStr">
        <is>
          <t>Yes</t>
        </is>
      </c>
      <c r="D855" t="inlineStr">
        <is>
          <t>Yes</t>
        </is>
      </c>
      <c r="E855">
        <f>VLOOKUP(C855,CategoryMap,2,0)</f>
        <v/>
      </c>
      <c r="F855">
        <f>VLOOKUP(D855,CategoryMap,2,0)</f>
        <v/>
      </c>
      <c r="G855">
        <f>ABS(E855-F855)</f>
        <v/>
      </c>
      <c r="H855">
        <f>IF(G855=0,"Yes","No")</f>
        <v/>
      </c>
      <c r="I855" t="inlineStr">
        <is>
          <t>Yes</t>
        </is>
      </c>
      <c r="J855">
        <f>IF(I855="","",IF(AND(I855=C855,I855=D855),"Both",IF(I855=C855,"Opus",IF(I855=D855,"Sonnet","Neither"))))</f>
        <v/>
      </c>
    </row>
    <row r="856">
      <c r="A856" t="inlineStr">
        <is>
          <t>R246</t>
        </is>
      </c>
      <c r="B856" t="inlineStr">
        <is>
          <t>Q7</t>
        </is>
      </c>
      <c r="C856" t="inlineStr">
        <is>
          <t>Yes</t>
        </is>
      </c>
      <c r="D856" t="inlineStr">
        <is>
          <t>Yes</t>
        </is>
      </c>
      <c r="E856">
        <f>VLOOKUP(C856,CategoryMap,2,0)</f>
        <v/>
      </c>
      <c r="F856">
        <f>VLOOKUP(D856,CategoryMap,2,0)</f>
        <v/>
      </c>
      <c r="G856">
        <f>ABS(E856-F856)</f>
        <v/>
      </c>
      <c r="H856">
        <f>IF(G856=0,"Yes","No")</f>
        <v/>
      </c>
      <c r="I856" t="inlineStr">
        <is>
          <t>Yes</t>
        </is>
      </c>
      <c r="J856">
        <f>IF(I856="","",IF(AND(I856=C856,I856=D856),"Both",IF(I856=C856,"Opus",IF(I856=D856,"Sonnet","Neither"))))</f>
        <v/>
      </c>
    </row>
    <row r="857">
      <c r="A857" t="inlineStr">
        <is>
          <t>R246</t>
        </is>
      </c>
      <c r="B857" t="inlineStr">
        <is>
          <t>Q8</t>
        </is>
      </c>
      <c r="C857" t="inlineStr">
        <is>
          <t>Partial</t>
        </is>
      </c>
      <c r="D857" t="inlineStr">
        <is>
          <t>No</t>
        </is>
      </c>
      <c r="E857">
        <f>VLOOKUP(C857,CategoryMap,2,0)</f>
        <v/>
      </c>
      <c r="F857">
        <f>VLOOKUP(D857,CategoryMap,2,0)</f>
        <v/>
      </c>
      <c r="G857">
        <f>ABS(E857-F857)</f>
        <v/>
      </c>
      <c r="H857">
        <f>IF(G857=0,"Yes","No")</f>
        <v/>
      </c>
      <c r="I857" t="inlineStr">
        <is>
          <t>Partial</t>
        </is>
      </c>
      <c r="J857">
        <f>IF(I857="","",IF(AND(I857=C857,I857=D857),"Both",IF(I857=C857,"Opus",IF(I857=D857,"Sonnet","Neither"))))</f>
        <v/>
      </c>
    </row>
    <row r="858">
      <c r="A858" t="inlineStr">
        <is>
          <t>R247</t>
        </is>
      </c>
      <c r="B858" t="inlineStr">
        <is>
          <t>Q1</t>
        </is>
      </c>
      <c r="C858" t="inlineStr">
        <is>
          <t>No</t>
        </is>
      </c>
      <c r="D858" t="inlineStr">
        <is>
          <t>No</t>
        </is>
      </c>
      <c r="E858">
        <f>VLOOKUP(C858,CategoryMap,2,0)</f>
        <v/>
      </c>
      <c r="F858">
        <f>VLOOKUP(D858,CategoryMap,2,0)</f>
        <v/>
      </c>
      <c r="G858">
        <f>ABS(E858-F858)</f>
        <v/>
      </c>
      <c r="H858">
        <f>IF(G858=0,"Yes","No")</f>
        <v/>
      </c>
      <c r="I858" t="inlineStr">
        <is>
          <t>No</t>
        </is>
      </c>
      <c r="J858">
        <f>IF(I858="","",IF(AND(I858=C858,I858=D858),"Both",IF(I858=C858,"Opus",IF(I858=D858,"Sonnet","Neither"))))</f>
        <v/>
      </c>
    </row>
    <row r="859">
      <c r="A859" t="inlineStr">
        <is>
          <t>R247</t>
        </is>
      </c>
      <c r="B859" t="inlineStr">
        <is>
          <t>Q2</t>
        </is>
      </c>
      <c r="C859" t="inlineStr">
        <is>
          <t>Partial</t>
        </is>
      </c>
      <c r="D859" t="inlineStr">
        <is>
          <t>No</t>
        </is>
      </c>
      <c r="E859">
        <f>VLOOKUP(C859,CategoryMap,2,0)</f>
        <v/>
      </c>
      <c r="F859">
        <f>VLOOKUP(D859,CategoryMap,2,0)</f>
        <v/>
      </c>
      <c r="G859">
        <f>ABS(E859-F859)</f>
        <v/>
      </c>
      <c r="H859">
        <f>IF(G859=0,"Yes","No")</f>
        <v/>
      </c>
      <c r="I859" t="inlineStr">
        <is>
          <t>No</t>
        </is>
      </c>
      <c r="J859">
        <f>IF(I859="","",IF(AND(I859=C859,I859=D859),"Both",IF(I859=C859,"Opus",IF(I859=D859,"Sonnet","Neither"))))</f>
        <v/>
      </c>
    </row>
    <row r="860">
      <c r="A860" t="inlineStr">
        <is>
          <t>R247</t>
        </is>
      </c>
      <c r="B860" t="inlineStr">
        <is>
          <t>Q3</t>
        </is>
      </c>
      <c r="C860" t="inlineStr">
        <is>
          <t>Partial</t>
        </is>
      </c>
      <c r="D860" t="inlineStr">
        <is>
          <t>No</t>
        </is>
      </c>
      <c r="E860">
        <f>VLOOKUP(C860,CategoryMap,2,0)</f>
        <v/>
      </c>
      <c r="F860">
        <f>VLOOKUP(D860,CategoryMap,2,0)</f>
        <v/>
      </c>
      <c r="G860">
        <f>ABS(E860-F860)</f>
        <v/>
      </c>
      <c r="H860">
        <f>IF(G860=0,"Yes","No")</f>
        <v/>
      </c>
      <c r="I860" t="inlineStr">
        <is>
          <t>Partial</t>
        </is>
      </c>
      <c r="J860">
        <f>IF(I860="","",IF(AND(I860=C860,I860=D860),"Both",IF(I860=C860,"Opus",IF(I860=D860,"Sonnet","Neither"))))</f>
        <v/>
      </c>
    </row>
    <row r="861">
      <c r="A861" t="inlineStr">
        <is>
          <t>R247</t>
        </is>
      </c>
      <c r="B861" t="inlineStr">
        <is>
          <t>Q4</t>
        </is>
      </c>
      <c r="C861" t="inlineStr">
        <is>
          <t>Partial</t>
        </is>
      </c>
      <c r="D861" t="inlineStr">
        <is>
          <t>Partial</t>
        </is>
      </c>
      <c r="E861">
        <f>VLOOKUP(C861,CategoryMap,2,0)</f>
        <v/>
      </c>
      <c r="F861">
        <f>VLOOKUP(D861,CategoryMap,2,0)</f>
        <v/>
      </c>
      <c r="G861">
        <f>ABS(E861-F861)</f>
        <v/>
      </c>
      <c r="H861">
        <f>IF(G861=0,"Yes","No")</f>
        <v/>
      </c>
      <c r="I861" t="inlineStr">
        <is>
          <t>Partial</t>
        </is>
      </c>
      <c r="J861">
        <f>IF(I861="","",IF(AND(I861=C861,I861=D861),"Both",IF(I861=C861,"Opus",IF(I861=D861,"Sonnet","Neither"))))</f>
        <v/>
      </c>
    </row>
    <row r="862">
      <c r="A862" t="inlineStr">
        <is>
          <t>R247</t>
        </is>
      </c>
      <c r="B862" t="inlineStr">
        <is>
          <t>Q5</t>
        </is>
      </c>
      <c r="C862" t="inlineStr">
        <is>
          <t>Yes</t>
        </is>
      </c>
      <c r="D862" t="inlineStr">
        <is>
          <t>Yes</t>
        </is>
      </c>
      <c r="E862">
        <f>VLOOKUP(C862,CategoryMap,2,0)</f>
        <v/>
      </c>
      <c r="F862">
        <f>VLOOKUP(D862,CategoryMap,2,0)</f>
        <v/>
      </c>
      <c r="G862">
        <f>ABS(E862-F862)</f>
        <v/>
      </c>
      <c r="H862">
        <f>IF(G862=0,"Yes","No")</f>
        <v/>
      </c>
      <c r="I862" t="inlineStr">
        <is>
          <t>Yes</t>
        </is>
      </c>
      <c r="J862">
        <f>IF(I862="","",IF(AND(I862=C862,I862=D862),"Both",IF(I862=C862,"Opus",IF(I862=D862,"Sonnet","Neither"))))</f>
        <v/>
      </c>
    </row>
    <row r="863">
      <c r="A863" t="inlineStr">
        <is>
          <t>R247</t>
        </is>
      </c>
      <c r="B863" t="inlineStr">
        <is>
          <t>Q6</t>
        </is>
      </c>
      <c r="C863" t="inlineStr">
        <is>
          <t>Yes</t>
        </is>
      </c>
      <c r="D863" t="inlineStr">
        <is>
          <t>Yes</t>
        </is>
      </c>
      <c r="E863">
        <f>VLOOKUP(C863,CategoryMap,2,0)</f>
        <v/>
      </c>
      <c r="F863">
        <f>VLOOKUP(D863,CategoryMap,2,0)</f>
        <v/>
      </c>
      <c r="G863">
        <f>ABS(E863-F863)</f>
        <v/>
      </c>
      <c r="H863">
        <f>IF(G863=0,"Yes","No")</f>
        <v/>
      </c>
      <c r="I863" t="inlineStr">
        <is>
          <t>Yes</t>
        </is>
      </c>
      <c r="J863">
        <f>IF(I863="","",IF(AND(I863=C863,I863=D863),"Both",IF(I863=C863,"Opus",IF(I863=D863,"Sonnet","Neither"))))</f>
        <v/>
      </c>
    </row>
    <row r="864">
      <c r="A864" t="inlineStr">
        <is>
          <t>R247</t>
        </is>
      </c>
      <c r="B864" t="inlineStr">
        <is>
          <t>Q7</t>
        </is>
      </c>
      <c r="C864" t="inlineStr">
        <is>
          <t>Yes</t>
        </is>
      </c>
      <c r="D864" t="inlineStr">
        <is>
          <t>Yes</t>
        </is>
      </c>
      <c r="E864">
        <f>VLOOKUP(C864,CategoryMap,2,0)</f>
        <v/>
      </c>
      <c r="F864">
        <f>VLOOKUP(D864,CategoryMap,2,0)</f>
        <v/>
      </c>
      <c r="G864">
        <f>ABS(E864-F864)</f>
        <v/>
      </c>
      <c r="H864">
        <f>IF(G864=0,"Yes","No")</f>
        <v/>
      </c>
      <c r="I864" t="inlineStr">
        <is>
          <t>Yes</t>
        </is>
      </c>
      <c r="J864">
        <f>IF(I864="","",IF(AND(I864=C864,I864=D864),"Both",IF(I864=C864,"Opus",IF(I864=D864,"Sonnet","Neither"))))</f>
        <v/>
      </c>
    </row>
    <row r="865">
      <c r="A865" t="inlineStr">
        <is>
          <t>R247</t>
        </is>
      </c>
      <c r="B865" t="inlineStr">
        <is>
          <t>Q8</t>
        </is>
      </c>
      <c r="C865" t="inlineStr">
        <is>
          <t>Partial</t>
        </is>
      </c>
      <c r="D865" t="inlineStr">
        <is>
          <t>No</t>
        </is>
      </c>
      <c r="E865">
        <f>VLOOKUP(C865,CategoryMap,2,0)</f>
        <v/>
      </c>
      <c r="F865">
        <f>VLOOKUP(D865,CategoryMap,2,0)</f>
        <v/>
      </c>
      <c r="G865">
        <f>ABS(E865-F865)</f>
        <v/>
      </c>
      <c r="H865">
        <f>IF(G865=0,"Yes","No")</f>
        <v/>
      </c>
      <c r="I865" t="inlineStr">
        <is>
          <t>Partial</t>
        </is>
      </c>
      <c r="J865">
        <f>IF(I865="","",IF(AND(I865=C865,I865=D865),"Both",IF(I865=C865,"Opus",IF(I865=D865,"Sonnet","Neither"))))</f>
        <v/>
      </c>
    </row>
    <row r="866">
      <c r="A866" t="inlineStr">
        <is>
          <t>R248</t>
        </is>
      </c>
      <c r="B866" t="inlineStr">
        <is>
          <t>Q1</t>
        </is>
      </c>
      <c r="C866" t="inlineStr">
        <is>
          <t>Yes</t>
        </is>
      </c>
      <c r="D866" t="inlineStr">
        <is>
          <t>Yes</t>
        </is>
      </c>
      <c r="E866">
        <f>VLOOKUP(C866,CategoryMap,2,0)</f>
        <v/>
      </c>
      <c r="F866">
        <f>VLOOKUP(D866,CategoryMap,2,0)</f>
        <v/>
      </c>
      <c r="G866">
        <f>ABS(E866-F866)</f>
        <v/>
      </c>
      <c r="H866">
        <f>IF(G866=0,"Yes","No")</f>
        <v/>
      </c>
      <c r="I866" t="inlineStr">
        <is>
          <t>Yes</t>
        </is>
      </c>
      <c r="J866">
        <f>IF(I866="","",IF(AND(I866=C866,I866=D866),"Both",IF(I866=C866,"Opus",IF(I866=D866,"Sonnet","Neither"))))</f>
        <v/>
      </c>
    </row>
    <row r="867">
      <c r="A867" t="inlineStr">
        <is>
          <t>R248</t>
        </is>
      </c>
      <c r="B867" t="inlineStr">
        <is>
          <t>Q2</t>
        </is>
      </c>
      <c r="C867" t="inlineStr">
        <is>
          <t>Partial</t>
        </is>
      </c>
      <c r="D867" t="inlineStr">
        <is>
          <t>Yes</t>
        </is>
      </c>
      <c r="E867">
        <f>VLOOKUP(C867,CategoryMap,2,0)</f>
        <v/>
      </c>
      <c r="F867">
        <f>VLOOKUP(D867,CategoryMap,2,0)</f>
        <v/>
      </c>
      <c r="G867">
        <f>ABS(E867-F867)</f>
        <v/>
      </c>
      <c r="H867">
        <f>IF(G867=0,"Yes","No")</f>
        <v/>
      </c>
      <c r="I867" t="inlineStr">
        <is>
          <t>Yes</t>
        </is>
      </c>
      <c r="J867">
        <f>IF(I867="","",IF(AND(I867=C867,I867=D867),"Both",IF(I867=C867,"Opus",IF(I867=D867,"Sonnet","Neither"))))</f>
        <v/>
      </c>
    </row>
    <row r="868">
      <c r="A868" t="inlineStr">
        <is>
          <t>R248</t>
        </is>
      </c>
      <c r="B868" t="inlineStr">
        <is>
          <t>Q3</t>
        </is>
      </c>
      <c r="C868" t="inlineStr">
        <is>
          <t>Yes</t>
        </is>
      </c>
      <c r="D868" t="inlineStr">
        <is>
          <t>Yes</t>
        </is>
      </c>
      <c r="E868">
        <f>VLOOKUP(C868,CategoryMap,2,0)</f>
        <v/>
      </c>
      <c r="F868">
        <f>VLOOKUP(D868,CategoryMap,2,0)</f>
        <v/>
      </c>
      <c r="G868">
        <f>ABS(E868-F868)</f>
        <v/>
      </c>
      <c r="H868">
        <f>IF(G868=0,"Yes","No")</f>
        <v/>
      </c>
      <c r="I868" t="inlineStr">
        <is>
          <t>Yes</t>
        </is>
      </c>
      <c r="J868">
        <f>IF(I868="","",IF(AND(I868=C868,I868=D868),"Both",IF(I868=C868,"Opus",IF(I868=D868,"Sonnet","Neither"))))</f>
        <v/>
      </c>
    </row>
    <row r="869">
      <c r="A869" t="inlineStr">
        <is>
          <t>R248</t>
        </is>
      </c>
      <c r="B869" t="inlineStr">
        <is>
          <t>Q4</t>
        </is>
      </c>
      <c r="C869" t="inlineStr">
        <is>
          <t>Partial</t>
        </is>
      </c>
      <c r="D869" t="inlineStr">
        <is>
          <t>Partial</t>
        </is>
      </c>
      <c r="E869">
        <f>VLOOKUP(C869,CategoryMap,2,0)</f>
        <v/>
      </c>
      <c r="F869">
        <f>VLOOKUP(D869,CategoryMap,2,0)</f>
        <v/>
      </c>
      <c r="G869">
        <f>ABS(E869-F869)</f>
        <v/>
      </c>
      <c r="H869">
        <f>IF(G869=0,"Yes","No")</f>
        <v/>
      </c>
      <c r="I869" t="inlineStr">
        <is>
          <t>Partial</t>
        </is>
      </c>
      <c r="J869">
        <f>IF(I869="","",IF(AND(I869=C869,I869=D869),"Both",IF(I869=C869,"Opus",IF(I869=D869,"Sonnet","Neither"))))</f>
        <v/>
      </c>
    </row>
    <row r="870">
      <c r="A870" t="inlineStr">
        <is>
          <t>R248</t>
        </is>
      </c>
      <c r="B870" t="inlineStr">
        <is>
          <t>Q5</t>
        </is>
      </c>
      <c r="C870" t="inlineStr">
        <is>
          <t>Partial</t>
        </is>
      </c>
      <c r="D870" t="inlineStr">
        <is>
          <t>Yes</t>
        </is>
      </c>
      <c r="E870">
        <f>VLOOKUP(C870,CategoryMap,2,0)</f>
        <v/>
      </c>
      <c r="F870">
        <f>VLOOKUP(D870,CategoryMap,2,0)</f>
        <v/>
      </c>
      <c r="G870">
        <f>ABS(E870-F870)</f>
        <v/>
      </c>
      <c r="H870">
        <f>IF(G870=0,"Yes","No")</f>
        <v/>
      </c>
      <c r="I870" t="inlineStr">
        <is>
          <t>Partial</t>
        </is>
      </c>
      <c r="J870">
        <f>IF(I870="","",IF(AND(I870=C870,I870=D870),"Both",IF(I870=C870,"Opus",IF(I870=D870,"Sonnet","Neither"))))</f>
        <v/>
      </c>
    </row>
    <row r="871">
      <c r="A871" t="inlineStr">
        <is>
          <t>R248</t>
        </is>
      </c>
      <c r="B871" t="inlineStr">
        <is>
          <t>Q6</t>
        </is>
      </c>
      <c r="C871" t="inlineStr">
        <is>
          <t>Yes</t>
        </is>
      </c>
      <c r="D871" t="inlineStr">
        <is>
          <t>Yes</t>
        </is>
      </c>
      <c r="E871">
        <f>VLOOKUP(C871,CategoryMap,2,0)</f>
        <v/>
      </c>
      <c r="F871">
        <f>VLOOKUP(D871,CategoryMap,2,0)</f>
        <v/>
      </c>
      <c r="G871">
        <f>ABS(E871-F871)</f>
        <v/>
      </c>
      <c r="H871">
        <f>IF(G871=0,"Yes","No")</f>
        <v/>
      </c>
      <c r="I871" t="inlineStr">
        <is>
          <t>Yes</t>
        </is>
      </c>
      <c r="J871">
        <f>IF(I871="","",IF(AND(I871=C871,I871=D871),"Both",IF(I871=C871,"Opus",IF(I871=D871,"Sonnet","Neither"))))</f>
        <v/>
      </c>
    </row>
    <row r="872">
      <c r="A872" t="inlineStr">
        <is>
          <t>R248</t>
        </is>
      </c>
      <c r="B872" t="inlineStr">
        <is>
          <t>Q7</t>
        </is>
      </c>
      <c r="C872" t="inlineStr">
        <is>
          <t>Yes</t>
        </is>
      </c>
      <c r="D872" t="inlineStr">
        <is>
          <t>Yes</t>
        </is>
      </c>
      <c r="E872">
        <f>VLOOKUP(C872,CategoryMap,2,0)</f>
        <v/>
      </c>
      <c r="F872">
        <f>VLOOKUP(D872,CategoryMap,2,0)</f>
        <v/>
      </c>
      <c r="G872">
        <f>ABS(E872-F872)</f>
        <v/>
      </c>
      <c r="H872">
        <f>IF(G872=0,"Yes","No")</f>
        <v/>
      </c>
      <c r="I872" t="inlineStr">
        <is>
          <t>Yes</t>
        </is>
      </c>
      <c r="J872">
        <f>IF(I872="","",IF(AND(I872=C872,I872=D872),"Both",IF(I872=C872,"Opus",IF(I872=D872,"Sonnet","Neither"))))</f>
        <v/>
      </c>
    </row>
    <row r="873">
      <c r="A873" t="inlineStr">
        <is>
          <t>R248</t>
        </is>
      </c>
      <c r="B873" t="inlineStr">
        <is>
          <t>Q8</t>
        </is>
      </c>
      <c r="C873" t="inlineStr">
        <is>
          <t>Partial</t>
        </is>
      </c>
      <c r="D873" t="inlineStr">
        <is>
          <t>Partial</t>
        </is>
      </c>
      <c r="E873">
        <f>VLOOKUP(C873,CategoryMap,2,0)</f>
        <v/>
      </c>
      <c r="F873">
        <f>VLOOKUP(D873,CategoryMap,2,0)</f>
        <v/>
      </c>
      <c r="G873">
        <f>ABS(E873-F873)</f>
        <v/>
      </c>
      <c r="H873">
        <f>IF(G873=0,"Yes","No")</f>
        <v/>
      </c>
      <c r="I873" t="inlineStr">
        <is>
          <t>Partial</t>
        </is>
      </c>
      <c r="J873">
        <f>IF(I873="","",IF(AND(I873=C873,I873=D873),"Both",IF(I873=C873,"Opus",IF(I873=D873,"Sonnet","Neither"))))</f>
        <v/>
      </c>
    </row>
    <row r="874">
      <c r="A874" t="inlineStr">
        <is>
          <t>R249</t>
        </is>
      </c>
      <c r="B874" t="inlineStr">
        <is>
          <t>Q1</t>
        </is>
      </c>
      <c r="C874" t="inlineStr">
        <is>
          <t>Partial</t>
        </is>
      </c>
      <c r="D874" t="inlineStr">
        <is>
          <t>Partial</t>
        </is>
      </c>
      <c r="E874">
        <f>VLOOKUP(C874,CategoryMap,2,0)</f>
        <v/>
      </c>
      <c r="F874">
        <f>VLOOKUP(D874,CategoryMap,2,0)</f>
        <v/>
      </c>
      <c r="G874">
        <f>ABS(E874-F874)</f>
        <v/>
      </c>
      <c r="H874">
        <f>IF(G874=0,"Yes","No")</f>
        <v/>
      </c>
      <c r="I874" t="inlineStr">
        <is>
          <t>Partial</t>
        </is>
      </c>
      <c r="J874">
        <f>IF(I874="","",IF(AND(I874=C874,I874=D874),"Both",IF(I874=C874,"Opus",IF(I874=D874,"Sonnet","Neither"))))</f>
        <v/>
      </c>
    </row>
    <row r="875">
      <c r="A875" t="inlineStr">
        <is>
          <t>R249</t>
        </is>
      </c>
      <c r="B875" t="inlineStr">
        <is>
          <t>Q2</t>
        </is>
      </c>
      <c r="C875" t="inlineStr">
        <is>
          <t>Partial</t>
        </is>
      </c>
      <c r="D875" t="inlineStr">
        <is>
          <t>Partial</t>
        </is>
      </c>
      <c r="E875">
        <f>VLOOKUP(C875,CategoryMap,2,0)</f>
        <v/>
      </c>
      <c r="F875">
        <f>VLOOKUP(D875,CategoryMap,2,0)</f>
        <v/>
      </c>
      <c r="G875">
        <f>ABS(E875-F875)</f>
        <v/>
      </c>
      <c r="H875">
        <f>IF(G875=0,"Yes","No")</f>
        <v/>
      </c>
      <c r="I875" t="inlineStr">
        <is>
          <t>Partial</t>
        </is>
      </c>
      <c r="J875">
        <f>IF(I875="","",IF(AND(I875=C875,I875=D875),"Both",IF(I875=C875,"Opus",IF(I875=D875,"Sonnet","Neither"))))</f>
        <v/>
      </c>
    </row>
    <row r="876">
      <c r="A876" t="inlineStr">
        <is>
          <t>R249</t>
        </is>
      </c>
      <c r="B876" t="inlineStr">
        <is>
          <t>Q3</t>
        </is>
      </c>
      <c r="C876" t="inlineStr">
        <is>
          <t>Partial</t>
        </is>
      </c>
      <c r="D876" t="inlineStr">
        <is>
          <t>Partial</t>
        </is>
      </c>
      <c r="E876">
        <f>VLOOKUP(C876,CategoryMap,2,0)</f>
        <v/>
      </c>
      <c r="F876">
        <f>VLOOKUP(D876,CategoryMap,2,0)</f>
        <v/>
      </c>
      <c r="G876">
        <f>ABS(E876-F876)</f>
        <v/>
      </c>
      <c r="H876">
        <f>IF(G876=0,"Yes","No")</f>
        <v/>
      </c>
      <c r="I876" t="inlineStr">
        <is>
          <t>Partial</t>
        </is>
      </c>
      <c r="J876">
        <f>IF(I876="","",IF(AND(I876=C876,I876=D876),"Both",IF(I876=C876,"Opus",IF(I876=D876,"Sonnet","Neither"))))</f>
        <v/>
      </c>
    </row>
    <row r="877">
      <c r="A877" t="inlineStr">
        <is>
          <t>R249</t>
        </is>
      </c>
      <c r="B877" t="inlineStr">
        <is>
          <t>Q4</t>
        </is>
      </c>
      <c r="C877" t="inlineStr">
        <is>
          <t>Partial</t>
        </is>
      </c>
      <c r="D877" t="inlineStr">
        <is>
          <t>Yes</t>
        </is>
      </c>
      <c r="E877">
        <f>VLOOKUP(C877,CategoryMap,2,0)</f>
        <v/>
      </c>
      <c r="F877">
        <f>VLOOKUP(D877,CategoryMap,2,0)</f>
        <v/>
      </c>
      <c r="G877">
        <f>ABS(E877-F877)</f>
        <v/>
      </c>
      <c r="H877">
        <f>IF(G877=0,"Yes","No")</f>
        <v/>
      </c>
      <c r="I877" t="inlineStr">
        <is>
          <t>Partial</t>
        </is>
      </c>
      <c r="J877">
        <f>IF(I877="","",IF(AND(I877=C877,I877=D877),"Both",IF(I877=C877,"Opus",IF(I877=D877,"Sonnet","Neither"))))</f>
        <v/>
      </c>
    </row>
    <row r="878">
      <c r="A878" t="inlineStr">
        <is>
          <t>R249</t>
        </is>
      </c>
      <c r="B878" t="inlineStr">
        <is>
          <t>Q5</t>
        </is>
      </c>
      <c r="C878" t="inlineStr">
        <is>
          <t>Yes</t>
        </is>
      </c>
      <c r="D878" t="inlineStr">
        <is>
          <t>Yes</t>
        </is>
      </c>
      <c r="E878">
        <f>VLOOKUP(C878,CategoryMap,2,0)</f>
        <v/>
      </c>
      <c r="F878">
        <f>VLOOKUP(D878,CategoryMap,2,0)</f>
        <v/>
      </c>
      <c r="G878">
        <f>ABS(E878-F878)</f>
        <v/>
      </c>
      <c r="H878">
        <f>IF(G878=0,"Yes","No")</f>
        <v/>
      </c>
      <c r="I878" t="inlineStr">
        <is>
          <t>Yes</t>
        </is>
      </c>
      <c r="J878">
        <f>IF(I878="","",IF(AND(I878=C878,I878=D878),"Both",IF(I878=C878,"Opus",IF(I878=D878,"Sonnet","Neither"))))</f>
        <v/>
      </c>
    </row>
    <row r="879">
      <c r="A879" t="inlineStr">
        <is>
          <t>R249</t>
        </is>
      </c>
      <c r="B879" t="inlineStr">
        <is>
          <t>Q6</t>
        </is>
      </c>
      <c r="C879" t="inlineStr">
        <is>
          <t>Yes</t>
        </is>
      </c>
      <c r="D879" t="inlineStr">
        <is>
          <t>Yes</t>
        </is>
      </c>
      <c r="E879">
        <f>VLOOKUP(C879,CategoryMap,2,0)</f>
        <v/>
      </c>
      <c r="F879">
        <f>VLOOKUP(D879,CategoryMap,2,0)</f>
        <v/>
      </c>
      <c r="G879">
        <f>ABS(E879-F879)</f>
        <v/>
      </c>
      <c r="H879">
        <f>IF(G879=0,"Yes","No")</f>
        <v/>
      </c>
      <c r="I879" t="inlineStr">
        <is>
          <t>Yes</t>
        </is>
      </c>
      <c r="J879">
        <f>IF(I879="","",IF(AND(I879=C879,I879=D879),"Both",IF(I879=C879,"Opus",IF(I879=D879,"Sonnet","Neither"))))</f>
        <v/>
      </c>
    </row>
    <row r="880">
      <c r="A880" t="inlineStr">
        <is>
          <t>R249</t>
        </is>
      </c>
      <c r="B880" t="inlineStr">
        <is>
          <t>Q7</t>
        </is>
      </c>
      <c r="C880" t="inlineStr">
        <is>
          <t>Yes</t>
        </is>
      </c>
      <c r="D880" t="inlineStr">
        <is>
          <t>Yes</t>
        </is>
      </c>
      <c r="E880">
        <f>VLOOKUP(C880,CategoryMap,2,0)</f>
        <v/>
      </c>
      <c r="F880">
        <f>VLOOKUP(D880,CategoryMap,2,0)</f>
        <v/>
      </c>
      <c r="G880">
        <f>ABS(E880-F880)</f>
        <v/>
      </c>
      <c r="H880">
        <f>IF(G880=0,"Yes","No")</f>
        <v/>
      </c>
      <c r="I880" t="inlineStr">
        <is>
          <t>Yes</t>
        </is>
      </c>
      <c r="J880">
        <f>IF(I880="","",IF(AND(I880=C880,I880=D880),"Both",IF(I880=C880,"Opus",IF(I880=D880,"Sonnet","Neither"))))</f>
        <v/>
      </c>
    </row>
    <row r="881">
      <c r="A881" t="inlineStr">
        <is>
          <t>R249</t>
        </is>
      </c>
      <c r="B881" t="inlineStr">
        <is>
          <t>Q8</t>
        </is>
      </c>
      <c r="C881" t="inlineStr">
        <is>
          <t>Partial</t>
        </is>
      </c>
      <c r="D881" t="inlineStr">
        <is>
          <t>Partial</t>
        </is>
      </c>
      <c r="E881">
        <f>VLOOKUP(C881,CategoryMap,2,0)</f>
        <v/>
      </c>
      <c r="F881">
        <f>VLOOKUP(D881,CategoryMap,2,0)</f>
        <v/>
      </c>
      <c r="G881">
        <f>ABS(E881-F881)</f>
        <v/>
      </c>
      <c r="H881">
        <f>IF(G881=0,"Yes","No")</f>
        <v/>
      </c>
      <c r="I881" t="inlineStr">
        <is>
          <t>No</t>
        </is>
      </c>
      <c r="J881">
        <f>IF(I881="","",IF(AND(I881=C881,I881=D881),"Both",IF(I881=C881,"Opus",IF(I881=D881,"Sonnet","Neither"))))</f>
        <v/>
      </c>
    </row>
    <row r="882">
      <c r="A882" t="inlineStr">
        <is>
          <t>R250</t>
        </is>
      </c>
      <c r="B882" t="inlineStr">
        <is>
          <t>Q1</t>
        </is>
      </c>
      <c r="C882" t="inlineStr">
        <is>
          <t>No</t>
        </is>
      </c>
      <c r="D882" t="inlineStr">
        <is>
          <t>No</t>
        </is>
      </c>
      <c r="E882">
        <f>VLOOKUP(C882,CategoryMap,2,0)</f>
        <v/>
      </c>
      <c r="F882">
        <f>VLOOKUP(D882,CategoryMap,2,0)</f>
        <v/>
      </c>
      <c r="G882">
        <f>ABS(E882-F882)</f>
        <v/>
      </c>
      <c r="H882">
        <f>IF(G882=0,"Yes","No")</f>
        <v/>
      </c>
      <c r="I882" t="inlineStr">
        <is>
          <t>No</t>
        </is>
      </c>
      <c r="J882">
        <f>IF(I882="","",IF(AND(I882=C882,I882=D882),"Both",IF(I882=C882,"Opus",IF(I882=D882,"Sonnet","Neither"))))</f>
        <v/>
      </c>
    </row>
    <row r="883">
      <c r="A883" t="inlineStr">
        <is>
          <t>R250</t>
        </is>
      </c>
      <c r="B883" t="inlineStr">
        <is>
          <t>Q2</t>
        </is>
      </c>
      <c r="C883" t="inlineStr">
        <is>
          <t>Partial</t>
        </is>
      </c>
      <c r="D883" t="inlineStr">
        <is>
          <t>No</t>
        </is>
      </c>
      <c r="E883">
        <f>VLOOKUP(C883,CategoryMap,2,0)</f>
        <v/>
      </c>
      <c r="F883">
        <f>VLOOKUP(D883,CategoryMap,2,0)</f>
        <v/>
      </c>
      <c r="G883">
        <f>ABS(E883-F883)</f>
        <v/>
      </c>
      <c r="H883">
        <f>IF(G883=0,"Yes","No")</f>
        <v/>
      </c>
      <c r="I883" t="inlineStr">
        <is>
          <t>Partial</t>
        </is>
      </c>
      <c r="J883">
        <f>IF(I883="","",IF(AND(I883=C883,I883=D883),"Both",IF(I883=C883,"Opus",IF(I883=D883,"Sonnet","Neither"))))</f>
        <v/>
      </c>
    </row>
    <row r="884">
      <c r="A884" t="inlineStr">
        <is>
          <t>R250</t>
        </is>
      </c>
      <c r="B884" t="inlineStr">
        <is>
          <t>Q3</t>
        </is>
      </c>
      <c r="C884" t="inlineStr">
        <is>
          <t>Partial</t>
        </is>
      </c>
      <c r="D884" t="inlineStr">
        <is>
          <t>No</t>
        </is>
      </c>
      <c r="E884">
        <f>VLOOKUP(C884,CategoryMap,2,0)</f>
        <v/>
      </c>
      <c r="F884">
        <f>VLOOKUP(D884,CategoryMap,2,0)</f>
        <v/>
      </c>
      <c r="G884">
        <f>ABS(E884-F884)</f>
        <v/>
      </c>
      <c r="H884">
        <f>IF(G884=0,"Yes","No")</f>
        <v/>
      </c>
      <c r="I884" t="inlineStr">
        <is>
          <t>No</t>
        </is>
      </c>
      <c r="J884">
        <f>IF(I884="","",IF(AND(I884=C884,I884=D884),"Both",IF(I884=C884,"Opus",IF(I884=D884,"Sonnet","Neither"))))</f>
        <v/>
      </c>
    </row>
    <row r="885">
      <c r="A885" t="inlineStr">
        <is>
          <t>R250</t>
        </is>
      </c>
      <c r="B885" t="inlineStr">
        <is>
          <t>Q4</t>
        </is>
      </c>
      <c r="C885" t="inlineStr">
        <is>
          <t>Partial</t>
        </is>
      </c>
      <c r="D885" t="inlineStr">
        <is>
          <t>Yes</t>
        </is>
      </c>
      <c r="E885">
        <f>VLOOKUP(C885,CategoryMap,2,0)</f>
        <v/>
      </c>
      <c r="F885">
        <f>VLOOKUP(D885,CategoryMap,2,0)</f>
        <v/>
      </c>
      <c r="G885">
        <f>ABS(E885-F885)</f>
        <v/>
      </c>
      <c r="H885">
        <f>IF(G885=0,"Yes","No")</f>
        <v/>
      </c>
      <c r="I885" t="inlineStr">
        <is>
          <t>Yes</t>
        </is>
      </c>
      <c r="J885">
        <f>IF(I885="","",IF(AND(I885=C885,I885=D885),"Both",IF(I885=C885,"Opus",IF(I885=D885,"Sonnet","Neither"))))</f>
        <v/>
      </c>
    </row>
    <row r="886">
      <c r="A886" t="inlineStr">
        <is>
          <t>R250</t>
        </is>
      </c>
      <c r="B886" t="inlineStr">
        <is>
          <t>Q5</t>
        </is>
      </c>
      <c r="C886" t="inlineStr">
        <is>
          <t>Partial</t>
        </is>
      </c>
      <c r="D886" t="inlineStr">
        <is>
          <t>Partial</t>
        </is>
      </c>
      <c r="E886">
        <f>VLOOKUP(C886,CategoryMap,2,0)</f>
        <v/>
      </c>
      <c r="F886">
        <f>VLOOKUP(D886,CategoryMap,2,0)</f>
        <v/>
      </c>
      <c r="G886">
        <f>ABS(E886-F886)</f>
        <v/>
      </c>
      <c r="H886">
        <f>IF(G886=0,"Yes","No")</f>
        <v/>
      </c>
      <c r="I886" t="inlineStr">
        <is>
          <t>Partial</t>
        </is>
      </c>
      <c r="J886">
        <f>IF(I886="","",IF(AND(I886=C886,I886=D886),"Both",IF(I886=C886,"Opus",IF(I886=D886,"Sonnet","Neither"))))</f>
        <v/>
      </c>
    </row>
    <row r="887">
      <c r="A887" t="inlineStr">
        <is>
          <t>R250</t>
        </is>
      </c>
      <c r="B887" t="inlineStr">
        <is>
          <t>Q6</t>
        </is>
      </c>
      <c r="C887" t="inlineStr">
        <is>
          <t>Partial</t>
        </is>
      </c>
      <c r="D887" t="inlineStr">
        <is>
          <t>Partial</t>
        </is>
      </c>
      <c r="E887">
        <f>VLOOKUP(C887,CategoryMap,2,0)</f>
        <v/>
      </c>
      <c r="F887">
        <f>VLOOKUP(D887,CategoryMap,2,0)</f>
        <v/>
      </c>
      <c r="G887">
        <f>ABS(E887-F887)</f>
        <v/>
      </c>
      <c r="H887">
        <f>IF(G887=0,"Yes","No")</f>
        <v/>
      </c>
      <c r="I887" t="inlineStr">
        <is>
          <t>Partial</t>
        </is>
      </c>
      <c r="J887">
        <f>IF(I887="","",IF(AND(I887=C887,I887=D887),"Both",IF(I887=C887,"Opus",IF(I887=D887,"Sonnet","Neither"))))</f>
        <v/>
      </c>
    </row>
    <row r="888">
      <c r="A888" t="inlineStr">
        <is>
          <t>R250</t>
        </is>
      </c>
      <c r="B888" t="inlineStr">
        <is>
          <t>Q7</t>
        </is>
      </c>
      <c r="C888" t="inlineStr">
        <is>
          <t>Partial</t>
        </is>
      </c>
      <c r="D888" t="inlineStr">
        <is>
          <t>Yes</t>
        </is>
      </c>
      <c r="E888">
        <f>VLOOKUP(C888,CategoryMap,2,0)</f>
        <v/>
      </c>
      <c r="F888">
        <f>VLOOKUP(D888,CategoryMap,2,0)</f>
        <v/>
      </c>
      <c r="G888">
        <f>ABS(E888-F888)</f>
        <v/>
      </c>
      <c r="H888">
        <f>IF(G888=0,"Yes","No")</f>
        <v/>
      </c>
      <c r="I888" t="inlineStr">
        <is>
          <t>Partial</t>
        </is>
      </c>
      <c r="J888">
        <f>IF(I888="","",IF(AND(I888=C888,I888=D888),"Both",IF(I888=C888,"Opus",IF(I888=D888,"Sonnet","Neither"))))</f>
        <v/>
      </c>
    </row>
    <row r="889">
      <c r="A889" t="inlineStr">
        <is>
          <t>R250</t>
        </is>
      </c>
      <c r="B889" t="inlineStr">
        <is>
          <t>Q8</t>
        </is>
      </c>
      <c r="C889" t="inlineStr">
        <is>
          <t>Partial</t>
        </is>
      </c>
      <c r="D889" t="inlineStr">
        <is>
          <t>No</t>
        </is>
      </c>
      <c r="E889">
        <f>VLOOKUP(C889,CategoryMap,2,0)</f>
        <v/>
      </c>
      <c r="F889">
        <f>VLOOKUP(D889,CategoryMap,2,0)</f>
        <v/>
      </c>
      <c r="G889">
        <f>ABS(E889-F889)</f>
        <v/>
      </c>
      <c r="H889">
        <f>IF(G889=0,"Yes","No")</f>
        <v/>
      </c>
      <c r="I889" t="inlineStr">
        <is>
          <t>Partial</t>
        </is>
      </c>
      <c r="J889">
        <f>IF(I889="","",IF(AND(I889=C889,I889=D889),"Both",IF(I889=C889,"Opus",IF(I889=D889,"Sonnet","Neither"))))</f>
        <v/>
      </c>
    </row>
    <row r="890">
      <c r="A890" t="inlineStr">
        <is>
          <t>R252</t>
        </is>
      </c>
      <c r="B890" t="inlineStr">
        <is>
          <t>Q1</t>
        </is>
      </c>
      <c r="C890" t="inlineStr">
        <is>
          <t>No</t>
        </is>
      </c>
      <c r="D890" t="inlineStr">
        <is>
          <t>No</t>
        </is>
      </c>
      <c r="E890">
        <f>VLOOKUP(C890,CategoryMap,2,0)</f>
        <v/>
      </c>
      <c r="F890">
        <f>VLOOKUP(D890,CategoryMap,2,0)</f>
        <v/>
      </c>
      <c r="G890">
        <f>ABS(E890-F890)</f>
        <v/>
      </c>
      <c r="H890">
        <f>IF(G890=0,"Yes","No")</f>
        <v/>
      </c>
      <c r="I890" t="inlineStr">
        <is>
          <t>No</t>
        </is>
      </c>
      <c r="J890">
        <f>IF(I890="","",IF(AND(I890=C890,I890=D890),"Both",IF(I890=C890,"Opus",IF(I890=D890,"Sonnet","Neither"))))</f>
        <v/>
      </c>
    </row>
    <row r="891">
      <c r="A891" t="inlineStr">
        <is>
          <t>R252</t>
        </is>
      </c>
      <c r="B891" t="inlineStr">
        <is>
          <t>Q2</t>
        </is>
      </c>
      <c r="C891" t="inlineStr">
        <is>
          <t>No</t>
        </is>
      </c>
      <c r="D891" t="inlineStr">
        <is>
          <t>No</t>
        </is>
      </c>
      <c r="E891">
        <f>VLOOKUP(C891,CategoryMap,2,0)</f>
        <v/>
      </c>
      <c r="F891">
        <f>VLOOKUP(D891,CategoryMap,2,0)</f>
        <v/>
      </c>
      <c r="G891">
        <f>ABS(E891-F891)</f>
        <v/>
      </c>
      <c r="H891">
        <f>IF(G891=0,"Yes","No")</f>
        <v/>
      </c>
      <c r="I891" t="inlineStr">
        <is>
          <t>No</t>
        </is>
      </c>
      <c r="J891">
        <f>IF(I891="","",IF(AND(I891=C891,I891=D891),"Both",IF(I891=C891,"Opus",IF(I891=D891,"Sonnet","Neither"))))</f>
        <v/>
      </c>
    </row>
    <row r="892">
      <c r="A892" t="inlineStr">
        <is>
          <t>R252</t>
        </is>
      </c>
      <c r="B892" t="inlineStr">
        <is>
          <t>Q3</t>
        </is>
      </c>
      <c r="C892" t="inlineStr">
        <is>
          <t>Partial</t>
        </is>
      </c>
      <c r="D892" t="inlineStr">
        <is>
          <t>No</t>
        </is>
      </c>
      <c r="E892">
        <f>VLOOKUP(C892,CategoryMap,2,0)</f>
        <v/>
      </c>
      <c r="F892">
        <f>VLOOKUP(D892,CategoryMap,2,0)</f>
        <v/>
      </c>
      <c r="G892">
        <f>ABS(E892-F892)</f>
        <v/>
      </c>
      <c r="H892">
        <f>IF(G892=0,"Yes","No")</f>
        <v/>
      </c>
      <c r="I892" t="inlineStr">
        <is>
          <t>Partial</t>
        </is>
      </c>
      <c r="J892">
        <f>IF(I892="","",IF(AND(I892=C892,I892=D892),"Both",IF(I892=C892,"Opus",IF(I892=D892,"Sonnet","Neither"))))</f>
        <v/>
      </c>
    </row>
    <row r="893">
      <c r="A893" t="inlineStr">
        <is>
          <t>R252</t>
        </is>
      </c>
      <c r="B893" t="inlineStr">
        <is>
          <t>Q4</t>
        </is>
      </c>
      <c r="C893" t="inlineStr">
        <is>
          <t>Yes</t>
        </is>
      </c>
      <c r="D893" t="inlineStr">
        <is>
          <t>Yes</t>
        </is>
      </c>
      <c r="E893">
        <f>VLOOKUP(C893,CategoryMap,2,0)</f>
        <v/>
      </c>
      <c r="F893">
        <f>VLOOKUP(D893,CategoryMap,2,0)</f>
        <v/>
      </c>
      <c r="G893">
        <f>ABS(E893-F893)</f>
        <v/>
      </c>
      <c r="H893">
        <f>IF(G893=0,"Yes","No")</f>
        <v/>
      </c>
      <c r="I893" t="inlineStr">
        <is>
          <t>Yes</t>
        </is>
      </c>
      <c r="J893">
        <f>IF(I893="","",IF(AND(I893=C893,I893=D893),"Both",IF(I893=C893,"Opus",IF(I893=D893,"Sonnet","Neither"))))</f>
        <v/>
      </c>
    </row>
    <row r="894">
      <c r="A894" t="inlineStr">
        <is>
          <t>R252</t>
        </is>
      </c>
      <c r="B894" t="inlineStr">
        <is>
          <t>Q5</t>
        </is>
      </c>
      <c r="C894" t="inlineStr">
        <is>
          <t>Partial</t>
        </is>
      </c>
      <c r="D894" t="inlineStr">
        <is>
          <t>Yes</t>
        </is>
      </c>
      <c r="E894">
        <f>VLOOKUP(C894,CategoryMap,2,0)</f>
        <v/>
      </c>
      <c r="F894">
        <f>VLOOKUP(D894,CategoryMap,2,0)</f>
        <v/>
      </c>
      <c r="G894">
        <f>ABS(E894-F894)</f>
        <v/>
      </c>
      <c r="H894">
        <f>IF(G894=0,"Yes","No")</f>
        <v/>
      </c>
      <c r="I894" t="inlineStr">
        <is>
          <t>Yes</t>
        </is>
      </c>
      <c r="J894">
        <f>IF(I894="","",IF(AND(I894=C894,I894=D894),"Both",IF(I894=C894,"Opus",IF(I894=D894,"Sonnet","Neither"))))</f>
        <v/>
      </c>
    </row>
    <row r="895">
      <c r="A895" t="inlineStr">
        <is>
          <t>R252</t>
        </is>
      </c>
      <c r="B895" t="inlineStr">
        <is>
          <t>Q6</t>
        </is>
      </c>
      <c r="C895" t="inlineStr">
        <is>
          <t>Yes</t>
        </is>
      </c>
      <c r="D895" t="inlineStr">
        <is>
          <t>Yes</t>
        </is>
      </c>
      <c r="E895">
        <f>VLOOKUP(C895,CategoryMap,2,0)</f>
        <v/>
      </c>
      <c r="F895">
        <f>VLOOKUP(D895,CategoryMap,2,0)</f>
        <v/>
      </c>
      <c r="G895">
        <f>ABS(E895-F895)</f>
        <v/>
      </c>
      <c r="H895">
        <f>IF(G895=0,"Yes","No")</f>
        <v/>
      </c>
      <c r="I895" t="inlineStr">
        <is>
          <t>Yes</t>
        </is>
      </c>
      <c r="J895">
        <f>IF(I895="","",IF(AND(I895=C895,I895=D895),"Both",IF(I895=C895,"Opus",IF(I895=D895,"Sonnet","Neither"))))</f>
        <v/>
      </c>
    </row>
    <row r="896">
      <c r="A896" t="inlineStr">
        <is>
          <t>R252</t>
        </is>
      </c>
      <c r="B896" t="inlineStr">
        <is>
          <t>Q7</t>
        </is>
      </c>
      <c r="C896" t="inlineStr">
        <is>
          <t>Yes</t>
        </is>
      </c>
      <c r="D896" t="inlineStr">
        <is>
          <t>Yes</t>
        </is>
      </c>
      <c r="E896">
        <f>VLOOKUP(C896,CategoryMap,2,0)</f>
        <v/>
      </c>
      <c r="F896">
        <f>VLOOKUP(D896,CategoryMap,2,0)</f>
        <v/>
      </c>
      <c r="G896">
        <f>ABS(E896-F896)</f>
        <v/>
      </c>
      <c r="H896">
        <f>IF(G896=0,"Yes","No")</f>
        <v/>
      </c>
      <c r="I896" t="inlineStr">
        <is>
          <t>Yes</t>
        </is>
      </c>
      <c r="J896">
        <f>IF(I896="","",IF(AND(I896=C896,I896=D896),"Both",IF(I896=C896,"Opus",IF(I896=D896,"Sonnet","Neither"))))</f>
        <v/>
      </c>
    </row>
    <row r="897">
      <c r="A897" t="inlineStr">
        <is>
          <t>R252</t>
        </is>
      </c>
      <c r="B897" t="inlineStr">
        <is>
          <t>Q8</t>
        </is>
      </c>
      <c r="C897" t="inlineStr">
        <is>
          <t>No</t>
        </is>
      </c>
      <c r="D897" t="inlineStr">
        <is>
          <t>No</t>
        </is>
      </c>
      <c r="E897">
        <f>VLOOKUP(C897,CategoryMap,2,0)</f>
        <v/>
      </c>
      <c r="F897">
        <f>VLOOKUP(D897,CategoryMap,2,0)</f>
        <v/>
      </c>
      <c r="G897">
        <f>ABS(E897-F897)</f>
        <v/>
      </c>
      <c r="H897">
        <f>IF(G897=0,"Yes","No")</f>
        <v/>
      </c>
      <c r="I897" t="inlineStr">
        <is>
          <t>No</t>
        </is>
      </c>
      <c r="J897">
        <f>IF(I897="","",IF(AND(I897=C897,I897=D897),"Both",IF(I897=C897,"Opus",IF(I897=D897,"Sonnet","Neither"))))</f>
        <v/>
      </c>
    </row>
    <row r="898">
      <c r="A898" t="inlineStr">
        <is>
          <t>R253</t>
        </is>
      </c>
      <c r="B898" t="inlineStr">
        <is>
          <t>Q1</t>
        </is>
      </c>
      <c r="C898" t="inlineStr">
        <is>
          <t>Partial</t>
        </is>
      </c>
      <c r="D898" t="inlineStr">
        <is>
          <t>Partial</t>
        </is>
      </c>
      <c r="E898">
        <f>VLOOKUP(C898,CategoryMap,2,0)</f>
        <v/>
      </c>
      <c r="F898">
        <f>VLOOKUP(D898,CategoryMap,2,0)</f>
        <v/>
      </c>
      <c r="G898">
        <f>ABS(E898-F898)</f>
        <v/>
      </c>
      <c r="H898">
        <f>IF(G898=0,"Yes","No")</f>
        <v/>
      </c>
      <c r="I898" t="inlineStr">
        <is>
          <t>Partial</t>
        </is>
      </c>
      <c r="J898">
        <f>IF(I898="","",IF(AND(I898=C898,I898=D898),"Both",IF(I898=C898,"Opus",IF(I898=D898,"Sonnet","Neither"))))</f>
        <v/>
      </c>
    </row>
    <row r="899">
      <c r="A899" t="inlineStr">
        <is>
          <t>R253</t>
        </is>
      </c>
      <c r="B899" t="inlineStr">
        <is>
          <t>Q2</t>
        </is>
      </c>
      <c r="C899" t="inlineStr">
        <is>
          <t>Partial</t>
        </is>
      </c>
      <c r="D899" t="inlineStr">
        <is>
          <t>No</t>
        </is>
      </c>
      <c r="E899">
        <f>VLOOKUP(C899,CategoryMap,2,0)</f>
        <v/>
      </c>
      <c r="F899">
        <f>VLOOKUP(D899,CategoryMap,2,0)</f>
        <v/>
      </c>
      <c r="G899">
        <f>ABS(E899-F899)</f>
        <v/>
      </c>
      <c r="H899">
        <f>IF(G899=0,"Yes","No")</f>
        <v/>
      </c>
      <c r="I899" t="inlineStr">
        <is>
          <t>No</t>
        </is>
      </c>
      <c r="J899">
        <f>IF(I899="","",IF(AND(I899=C899,I899=D899),"Both",IF(I899=C899,"Opus",IF(I899=D899,"Sonnet","Neither"))))</f>
        <v/>
      </c>
    </row>
    <row r="900">
      <c r="A900" t="inlineStr">
        <is>
          <t>R253</t>
        </is>
      </c>
      <c r="B900" t="inlineStr">
        <is>
          <t>Q3</t>
        </is>
      </c>
      <c r="C900" t="inlineStr">
        <is>
          <t>Partial</t>
        </is>
      </c>
      <c r="D900" t="inlineStr">
        <is>
          <t>Partial</t>
        </is>
      </c>
      <c r="E900">
        <f>VLOOKUP(C900,CategoryMap,2,0)</f>
        <v/>
      </c>
      <c r="F900">
        <f>VLOOKUP(D900,CategoryMap,2,0)</f>
        <v/>
      </c>
      <c r="G900">
        <f>ABS(E900-F900)</f>
        <v/>
      </c>
      <c r="H900">
        <f>IF(G900=0,"Yes","No")</f>
        <v/>
      </c>
      <c r="I900" t="inlineStr">
        <is>
          <t>Partial</t>
        </is>
      </c>
      <c r="J900">
        <f>IF(I900="","",IF(AND(I900=C900,I900=D900),"Both",IF(I900=C900,"Opus",IF(I900=D900,"Sonnet","Neither"))))</f>
        <v/>
      </c>
    </row>
    <row r="901">
      <c r="A901" t="inlineStr">
        <is>
          <t>R253</t>
        </is>
      </c>
      <c r="B901" t="inlineStr">
        <is>
          <t>Q4</t>
        </is>
      </c>
      <c r="C901" t="inlineStr">
        <is>
          <t>Partial</t>
        </is>
      </c>
      <c r="D901" t="inlineStr">
        <is>
          <t>Yes</t>
        </is>
      </c>
      <c r="E901">
        <f>VLOOKUP(C901,CategoryMap,2,0)</f>
        <v/>
      </c>
      <c r="F901">
        <f>VLOOKUP(D901,CategoryMap,2,0)</f>
        <v/>
      </c>
      <c r="G901">
        <f>ABS(E901-F901)</f>
        <v/>
      </c>
      <c r="H901">
        <f>IF(G901=0,"Yes","No")</f>
        <v/>
      </c>
      <c r="I901" t="inlineStr">
        <is>
          <t>Partial</t>
        </is>
      </c>
      <c r="J901">
        <f>IF(I901="","",IF(AND(I901=C901,I901=D901),"Both",IF(I901=C901,"Opus",IF(I901=D901,"Sonnet","Neither"))))</f>
        <v/>
      </c>
    </row>
    <row r="902">
      <c r="A902" t="inlineStr">
        <is>
          <t>R253</t>
        </is>
      </c>
      <c r="B902" t="inlineStr">
        <is>
          <t>Q5</t>
        </is>
      </c>
      <c r="C902" t="inlineStr">
        <is>
          <t>Partial</t>
        </is>
      </c>
      <c r="D902" t="inlineStr">
        <is>
          <t>Partial</t>
        </is>
      </c>
      <c r="E902">
        <f>VLOOKUP(C902,CategoryMap,2,0)</f>
        <v/>
      </c>
      <c r="F902">
        <f>VLOOKUP(D902,CategoryMap,2,0)</f>
        <v/>
      </c>
      <c r="G902">
        <f>ABS(E902-F902)</f>
        <v/>
      </c>
      <c r="H902">
        <f>IF(G902=0,"Yes","No")</f>
        <v/>
      </c>
      <c r="I902" t="inlineStr">
        <is>
          <t>Partial</t>
        </is>
      </c>
      <c r="J902">
        <f>IF(I902="","",IF(AND(I902=C902,I902=D902),"Both",IF(I902=C902,"Opus",IF(I902=D902,"Sonnet","Neither"))))</f>
        <v/>
      </c>
    </row>
    <row r="903">
      <c r="A903" t="inlineStr">
        <is>
          <t>R253</t>
        </is>
      </c>
      <c r="B903" t="inlineStr">
        <is>
          <t>Q6</t>
        </is>
      </c>
      <c r="C903" t="inlineStr">
        <is>
          <t>Partial</t>
        </is>
      </c>
      <c r="D903" t="inlineStr">
        <is>
          <t>Partial</t>
        </is>
      </c>
      <c r="E903">
        <f>VLOOKUP(C903,CategoryMap,2,0)</f>
        <v/>
      </c>
      <c r="F903">
        <f>VLOOKUP(D903,CategoryMap,2,0)</f>
        <v/>
      </c>
      <c r="G903">
        <f>ABS(E903-F903)</f>
        <v/>
      </c>
      <c r="H903">
        <f>IF(G903=0,"Yes","No")</f>
        <v/>
      </c>
      <c r="I903" t="inlineStr">
        <is>
          <t>Partial</t>
        </is>
      </c>
      <c r="J903">
        <f>IF(I903="","",IF(AND(I903=C903,I903=D903),"Both",IF(I903=C903,"Opus",IF(I903=D903,"Sonnet","Neither"))))</f>
        <v/>
      </c>
    </row>
    <row r="904">
      <c r="A904" t="inlineStr">
        <is>
          <t>R253</t>
        </is>
      </c>
      <c r="B904" t="inlineStr">
        <is>
          <t>Q7</t>
        </is>
      </c>
      <c r="C904" t="inlineStr">
        <is>
          <t>No</t>
        </is>
      </c>
      <c r="D904" t="inlineStr">
        <is>
          <t>No</t>
        </is>
      </c>
      <c r="E904">
        <f>VLOOKUP(C904,CategoryMap,2,0)</f>
        <v/>
      </c>
      <c r="F904">
        <f>VLOOKUP(D904,CategoryMap,2,0)</f>
        <v/>
      </c>
      <c r="G904">
        <f>ABS(E904-F904)</f>
        <v/>
      </c>
      <c r="H904">
        <f>IF(G904=0,"Yes","No")</f>
        <v/>
      </c>
      <c r="I904" t="inlineStr">
        <is>
          <t>No</t>
        </is>
      </c>
      <c r="J904">
        <f>IF(I904="","",IF(AND(I904=C904,I904=D904),"Both",IF(I904=C904,"Opus",IF(I904=D904,"Sonnet","Neither"))))</f>
        <v/>
      </c>
    </row>
    <row r="905">
      <c r="A905" t="inlineStr">
        <is>
          <t>R253</t>
        </is>
      </c>
      <c r="B905" t="inlineStr">
        <is>
          <t>Q8</t>
        </is>
      </c>
      <c r="C905" t="inlineStr">
        <is>
          <t>No</t>
        </is>
      </c>
      <c r="D905" t="inlineStr">
        <is>
          <t>No</t>
        </is>
      </c>
      <c r="E905">
        <f>VLOOKUP(C905,CategoryMap,2,0)</f>
        <v/>
      </c>
      <c r="F905">
        <f>VLOOKUP(D905,CategoryMap,2,0)</f>
        <v/>
      </c>
      <c r="G905">
        <f>ABS(E905-F905)</f>
        <v/>
      </c>
      <c r="H905">
        <f>IF(G905=0,"Yes","No")</f>
        <v/>
      </c>
      <c r="I905" t="inlineStr">
        <is>
          <t>No</t>
        </is>
      </c>
      <c r="J905">
        <f>IF(I905="","",IF(AND(I905=C905,I905=D905),"Both",IF(I905=C905,"Opus",IF(I905=D905,"Sonnet","Neither"))))</f>
        <v/>
      </c>
    </row>
    <row r="906">
      <c r="A906" t="inlineStr">
        <is>
          <t>R254</t>
        </is>
      </c>
      <c r="B906" t="inlineStr">
        <is>
          <t>Q1</t>
        </is>
      </c>
      <c r="C906" t="inlineStr">
        <is>
          <t>Partial</t>
        </is>
      </c>
      <c r="D906" t="inlineStr">
        <is>
          <t>Partial</t>
        </is>
      </c>
      <c r="E906">
        <f>VLOOKUP(C906,CategoryMap,2,0)</f>
        <v/>
      </c>
      <c r="F906">
        <f>VLOOKUP(D906,CategoryMap,2,0)</f>
        <v/>
      </c>
      <c r="G906">
        <f>ABS(E906-F906)</f>
        <v/>
      </c>
      <c r="H906">
        <f>IF(G906=0,"Yes","No")</f>
        <v/>
      </c>
      <c r="I906" t="inlineStr">
        <is>
          <t>Partial</t>
        </is>
      </c>
      <c r="J906">
        <f>IF(I906="","",IF(AND(I906=C906,I906=D906),"Both",IF(I906=C906,"Opus",IF(I906=D906,"Sonnet","Neither"))))</f>
        <v/>
      </c>
    </row>
    <row r="907">
      <c r="A907" t="inlineStr">
        <is>
          <t>R254</t>
        </is>
      </c>
      <c r="B907" t="inlineStr">
        <is>
          <t>Q2</t>
        </is>
      </c>
      <c r="C907" t="inlineStr">
        <is>
          <t>Partial</t>
        </is>
      </c>
      <c r="D907" t="inlineStr">
        <is>
          <t>Partial</t>
        </is>
      </c>
      <c r="E907">
        <f>VLOOKUP(C907,CategoryMap,2,0)</f>
        <v/>
      </c>
      <c r="F907">
        <f>VLOOKUP(D907,CategoryMap,2,0)</f>
        <v/>
      </c>
      <c r="G907">
        <f>ABS(E907-F907)</f>
        <v/>
      </c>
      <c r="H907">
        <f>IF(G907=0,"Yes","No")</f>
        <v/>
      </c>
      <c r="I907" t="inlineStr">
        <is>
          <t>Partial</t>
        </is>
      </c>
      <c r="J907">
        <f>IF(I907="","",IF(AND(I907=C907,I907=D907),"Both",IF(I907=C907,"Opus",IF(I907=D907,"Sonnet","Neither"))))</f>
        <v/>
      </c>
    </row>
    <row r="908">
      <c r="A908" t="inlineStr">
        <is>
          <t>R254</t>
        </is>
      </c>
      <c r="B908" t="inlineStr">
        <is>
          <t>Q3</t>
        </is>
      </c>
      <c r="C908" t="inlineStr">
        <is>
          <t>Yes</t>
        </is>
      </c>
      <c r="D908" t="inlineStr">
        <is>
          <t>Partial</t>
        </is>
      </c>
      <c r="E908">
        <f>VLOOKUP(C908,CategoryMap,2,0)</f>
        <v/>
      </c>
      <c r="F908">
        <f>VLOOKUP(D908,CategoryMap,2,0)</f>
        <v/>
      </c>
      <c r="G908">
        <f>ABS(E908-F908)</f>
        <v/>
      </c>
      <c r="H908">
        <f>IF(G908=0,"Yes","No")</f>
        <v/>
      </c>
      <c r="I908" t="inlineStr">
        <is>
          <t>Partial</t>
        </is>
      </c>
      <c r="J908">
        <f>IF(I908="","",IF(AND(I908=C908,I908=D908),"Both",IF(I908=C908,"Opus",IF(I908=D908,"Sonnet","Neither"))))</f>
        <v/>
      </c>
    </row>
    <row r="909">
      <c r="A909" t="inlineStr">
        <is>
          <t>R254</t>
        </is>
      </c>
      <c r="B909" t="inlineStr">
        <is>
          <t>Q4</t>
        </is>
      </c>
      <c r="C909" t="inlineStr">
        <is>
          <t>Partial</t>
        </is>
      </c>
      <c r="D909" t="inlineStr">
        <is>
          <t>Partial</t>
        </is>
      </c>
      <c r="E909">
        <f>VLOOKUP(C909,CategoryMap,2,0)</f>
        <v/>
      </c>
      <c r="F909">
        <f>VLOOKUP(D909,CategoryMap,2,0)</f>
        <v/>
      </c>
      <c r="G909">
        <f>ABS(E909-F909)</f>
        <v/>
      </c>
      <c r="H909">
        <f>IF(G909=0,"Yes","No")</f>
        <v/>
      </c>
      <c r="I909" t="inlineStr">
        <is>
          <t>Partial</t>
        </is>
      </c>
      <c r="J909">
        <f>IF(I909="","",IF(AND(I909=C909,I909=D909),"Both",IF(I909=C909,"Opus",IF(I909=D909,"Sonnet","Neither"))))</f>
        <v/>
      </c>
    </row>
    <row r="910">
      <c r="A910" t="inlineStr">
        <is>
          <t>R254</t>
        </is>
      </c>
      <c r="B910" t="inlineStr">
        <is>
          <t>Q5</t>
        </is>
      </c>
      <c r="C910" t="inlineStr">
        <is>
          <t>Partial</t>
        </is>
      </c>
      <c r="D910" t="inlineStr">
        <is>
          <t>Partial</t>
        </is>
      </c>
      <c r="E910">
        <f>VLOOKUP(C910,CategoryMap,2,0)</f>
        <v/>
      </c>
      <c r="F910">
        <f>VLOOKUP(D910,CategoryMap,2,0)</f>
        <v/>
      </c>
      <c r="G910">
        <f>ABS(E910-F910)</f>
        <v/>
      </c>
      <c r="H910">
        <f>IF(G910=0,"Yes","No")</f>
        <v/>
      </c>
      <c r="I910" t="inlineStr">
        <is>
          <t>Partial</t>
        </is>
      </c>
      <c r="J910">
        <f>IF(I910="","",IF(AND(I910=C910,I910=D910),"Both",IF(I910=C910,"Opus",IF(I910=D910,"Sonnet","Neither"))))</f>
        <v/>
      </c>
    </row>
    <row r="911">
      <c r="A911" t="inlineStr">
        <is>
          <t>R254</t>
        </is>
      </c>
      <c r="B911" t="inlineStr">
        <is>
          <t>Q6</t>
        </is>
      </c>
      <c r="C911" t="inlineStr">
        <is>
          <t>No</t>
        </is>
      </c>
      <c r="D911" t="inlineStr">
        <is>
          <t>Partial</t>
        </is>
      </c>
      <c r="E911">
        <f>VLOOKUP(C911,CategoryMap,2,0)</f>
        <v/>
      </c>
      <c r="F911">
        <f>VLOOKUP(D911,CategoryMap,2,0)</f>
        <v/>
      </c>
      <c r="G911">
        <f>ABS(E911-F911)</f>
        <v/>
      </c>
      <c r="H911">
        <f>IF(G911=0,"Yes","No")</f>
        <v/>
      </c>
      <c r="I911" t="inlineStr">
        <is>
          <t>No</t>
        </is>
      </c>
      <c r="J911">
        <f>IF(I911="","",IF(AND(I911=C911,I911=D911),"Both",IF(I911=C911,"Opus",IF(I911=D911,"Sonnet","Neither"))))</f>
        <v/>
      </c>
    </row>
    <row r="912">
      <c r="A912" t="inlineStr">
        <is>
          <t>R254</t>
        </is>
      </c>
      <c r="B912" t="inlineStr">
        <is>
          <t>Q7</t>
        </is>
      </c>
      <c r="C912" t="inlineStr">
        <is>
          <t>No</t>
        </is>
      </c>
      <c r="D912" t="inlineStr">
        <is>
          <t>No</t>
        </is>
      </c>
      <c r="E912">
        <f>VLOOKUP(C912,CategoryMap,2,0)</f>
        <v/>
      </c>
      <c r="F912">
        <f>VLOOKUP(D912,CategoryMap,2,0)</f>
        <v/>
      </c>
      <c r="G912">
        <f>ABS(E912-F912)</f>
        <v/>
      </c>
      <c r="H912">
        <f>IF(G912=0,"Yes","No")</f>
        <v/>
      </c>
      <c r="I912" t="inlineStr">
        <is>
          <t>No</t>
        </is>
      </c>
      <c r="J912">
        <f>IF(I912="","",IF(AND(I912=C912,I912=D912),"Both",IF(I912=C912,"Opus",IF(I912=D912,"Sonnet","Neither"))))</f>
        <v/>
      </c>
    </row>
    <row r="913">
      <c r="A913" t="inlineStr">
        <is>
          <t>R254</t>
        </is>
      </c>
      <c r="B913" t="inlineStr">
        <is>
          <t>Q8</t>
        </is>
      </c>
      <c r="C913" t="inlineStr">
        <is>
          <t>Partial</t>
        </is>
      </c>
      <c r="D913" t="inlineStr">
        <is>
          <t>No</t>
        </is>
      </c>
      <c r="E913">
        <f>VLOOKUP(C913,CategoryMap,2,0)</f>
        <v/>
      </c>
      <c r="F913">
        <f>VLOOKUP(D913,CategoryMap,2,0)</f>
        <v/>
      </c>
      <c r="G913">
        <f>ABS(E913-F913)</f>
        <v/>
      </c>
      <c r="H913">
        <f>IF(G913=0,"Yes","No")</f>
        <v/>
      </c>
      <c r="I913" t="inlineStr">
        <is>
          <t>Partial</t>
        </is>
      </c>
      <c r="J913">
        <f>IF(I913="","",IF(AND(I913=C913,I913=D913),"Both",IF(I913=C913,"Opus",IF(I913=D913,"Sonnet","Neither"))))</f>
        <v/>
      </c>
    </row>
    <row r="914">
      <c r="A914" t="inlineStr">
        <is>
          <t>R257</t>
        </is>
      </c>
      <c r="B914" t="inlineStr">
        <is>
          <t>Q1</t>
        </is>
      </c>
      <c r="C914" t="inlineStr">
        <is>
          <t>No</t>
        </is>
      </c>
      <c r="D914" t="inlineStr">
        <is>
          <t>No</t>
        </is>
      </c>
      <c r="E914">
        <f>VLOOKUP(C914,CategoryMap,2,0)</f>
        <v/>
      </c>
      <c r="F914">
        <f>VLOOKUP(D914,CategoryMap,2,0)</f>
        <v/>
      </c>
      <c r="G914">
        <f>ABS(E914-F914)</f>
        <v/>
      </c>
      <c r="H914">
        <f>IF(G914=0,"Yes","No")</f>
        <v/>
      </c>
      <c r="I914" t="inlineStr">
        <is>
          <t>No</t>
        </is>
      </c>
      <c r="J914">
        <f>IF(I914="","",IF(AND(I914=C914,I914=D914),"Both",IF(I914=C914,"Opus",IF(I914=D914,"Sonnet","Neither"))))</f>
        <v/>
      </c>
    </row>
    <row r="915">
      <c r="A915" t="inlineStr">
        <is>
          <t>R257</t>
        </is>
      </c>
      <c r="B915" t="inlineStr">
        <is>
          <t>Q2</t>
        </is>
      </c>
      <c r="C915" t="inlineStr">
        <is>
          <t>No</t>
        </is>
      </c>
      <c r="D915" t="inlineStr">
        <is>
          <t>No</t>
        </is>
      </c>
      <c r="E915">
        <f>VLOOKUP(C915,CategoryMap,2,0)</f>
        <v/>
      </c>
      <c r="F915">
        <f>VLOOKUP(D915,CategoryMap,2,0)</f>
        <v/>
      </c>
      <c r="G915">
        <f>ABS(E915-F915)</f>
        <v/>
      </c>
      <c r="H915">
        <f>IF(G915=0,"Yes","No")</f>
        <v/>
      </c>
      <c r="I915" t="inlineStr">
        <is>
          <t>No</t>
        </is>
      </c>
      <c r="J915">
        <f>IF(I915="","",IF(AND(I915=C915,I915=D915),"Both",IF(I915=C915,"Opus",IF(I915=D915,"Sonnet","Neither"))))</f>
        <v/>
      </c>
    </row>
    <row r="916">
      <c r="A916" t="inlineStr">
        <is>
          <t>R257</t>
        </is>
      </c>
      <c r="B916" t="inlineStr">
        <is>
          <t>Q3</t>
        </is>
      </c>
      <c r="C916" t="inlineStr">
        <is>
          <t>No</t>
        </is>
      </c>
      <c r="D916" t="inlineStr">
        <is>
          <t>No</t>
        </is>
      </c>
      <c r="E916">
        <f>VLOOKUP(C916,CategoryMap,2,0)</f>
        <v/>
      </c>
      <c r="F916">
        <f>VLOOKUP(D916,CategoryMap,2,0)</f>
        <v/>
      </c>
      <c r="G916">
        <f>ABS(E916-F916)</f>
        <v/>
      </c>
      <c r="H916">
        <f>IF(G916=0,"Yes","No")</f>
        <v/>
      </c>
      <c r="I916" t="inlineStr">
        <is>
          <t>No</t>
        </is>
      </c>
      <c r="J916">
        <f>IF(I916="","",IF(AND(I916=C916,I916=D916),"Both",IF(I916=C916,"Opus",IF(I916=D916,"Sonnet","Neither"))))</f>
        <v/>
      </c>
    </row>
    <row r="917">
      <c r="A917" t="inlineStr">
        <is>
          <t>R257</t>
        </is>
      </c>
      <c r="B917" t="inlineStr">
        <is>
          <t>Q4</t>
        </is>
      </c>
      <c r="C917" t="inlineStr">
        <is>
          <t>No</t>
        </is>
      </c>
      <c r="D917" t="inlineStr">
        <is>
          <t>No</t>
        </is>
      </c>
      <c r="E917">
        <f>VLOOKUP(C917,CategoryMap,2,0)</f>
        <v/>
      </c>
      <c r="F917">
        <f>VLOOKUP(D917,CategoryMap,2,0)</f>
        <v/>
      </c>
      <c r="G917">
        <f>ABS(E917-F917)</f>
        <v/>
      </c>
      <c r="H917">
        <f>IF(G917=0,"Yes","No")</f>
        <v/>
      </c>
      <c r="I917" t="inlineStr">
        <is>
          <t>No</t>
        </is>
      </c>
      <c r="J917">
        <f>IF(I917="","",IF(AND(I917=C917,I917=D917),"Both",IF(I917=C917,"Opus",IF(I917=D917,"Sonnet","Neither"))))</f>
        <v/>
      </c>
    </row>
    <row r="918">
      <c r="A918" t="inlineStr">
        <is>
          <t>R257</t>
        </is>
      </c>
      <c r="B918" t="inlineStr">
        <is>
          <t>Q5</t>
        </is>
      </c>
      <c r="C918" t="inlineStr">
        <is>
          <t>Partial</t>
        </is>
      </c>
      <c r="D918" t="inlineStr">
        <is>
          <t>Partial</t>
        </is>
      </c>
      <c r="E918">
        <f>VLOOKUP(C918,CategoryMap,2,0)</f>
        <v/>
      </c>
      <c r="F918">
        <f>VLOOKUP(D918,CategoryMap,2,0)</f>
        <v/>
      </c>
      <c r="G918">
        <f>ABS(E918-F918)</f>
        <v/>
      </c>
      <c r="H918">
        <f>IF(G918=0,"Yes","No")</f>
        <v/>
      </c>
      <c r="I918" t="inlineStr">
        <is>
          <t>Partial</t>
        </is>
      </c>
      <c r="J918">
        <f>IF(I918="","",IF(AND(I918=C918,I918=D918),"Both",IF(I918=C918,"Opus",IF(I918=D918,"Sonnet","Neither"))))</f>
        <v/>
      </c>
    </row>
    <row r="919">
      <c r="A919" t="inlineStr">
        <is>
          <t>R257</t>
        </is>
      </c>
      <c r="B919" t="inlineStr">
        <is>
          <t>Q6</t>
        </is>
      </c>
      <c r="C919" t="inlineStr">
        <is>
          <t>Partial</t>
        </is>
      </c>
      <c r="D919" t="inlineStr">
        <is>
          <t>No</t>
        </is>
      </c>
      <c r="E919">
        <f>VLOOKUP(C919,CategoryMap,2,0)</f>
        <v/>
      </c>
      <c r="F919">
        <f>VLOOKUP(D919,CategoryMap,2,0)</f>
        <v/>
      </c>
      <c r="G919">
        <f>ABS(E919-F919)</f>
        <v/>
      </c>
      <c r="H919">
        <f>IF(G919=0,"Yes","No")</f>
        <v/>
      </c>
      <c r="I919" t="inlineStr">
        <is>
          <t>No</t>
        </is>
      </c>
      <c r="J919">
        <f>IF(I919="","",IF(AND(I919=C919,I919=D919),"Both",IF(I919=C919,"Opus",IF(I919=D919,"Sonnet","Neither"))))</f>
        <v/>
      </c>
    </row>
    <row r="920">
      <c r="A920" t="inlineStr">
        <is>
          <t>R257</t>
        </is>
      </c>
      <c r="B920" t="inlineStr">
        <is>
          <t>Q7</t>
        </is>
      </c>
      <c r="C920" t="inlineStr">
        <is>
          <t>No</t>
        </is>
      </c>
      <c r="D920" t="inlineStr">
        <is>
          <t>No</t>
        </is>
      </c>
      <c r="E920">
        <f>VLOOKUP(C920,CategoryMap,2,0)</f>
        <v/>
      </c>
      <c r="F920">
        <f>VLOOKUP(D920,CategoryMap,2,0)</f>
        <v/>
      </c>
      <c r="G920">
        <f>ABS(E920-F920)</f>
        <v/>
      </c>
      <c r="H920">
        <f>IF(G920=0,"Yes","No")</f>
        <v/>
      </c>
      <c r="I920" t="inlineStr">
        <is>
          <t>No</t>
        </is>
      </c>
      <c r="J920">
        <f>IF(I920="","",IF(AND(I920=C920,I920=D920),"Both",IF(I920=C920,"Opus",IF(I920=D920,"Sonnet","Neither"))))</f>
        <v/>
      </c>
    </row>
    <row r="921">
      <c r="A921" t="inlineStr">
        <is>
          <t>R257</t>
        </is>
      </c>
      <c r="B921" t="inlineStr">
        <is>
          <t>Q8</t>
        </is>
      </c>
      <c r="C921" t="inlineStr">
        <is>
          <t>Partial</t>
        </is>
      </c>
      <c r="D921" t="inlineStr">
        <is>
          <t>No</t>
        </is>
      </c>
      <c r="E921">
        <f>VLOOKUP(C921,CategoryMap,2,0)</f>
        <v/>
      </c>
      <c r="F921">
        <f>VLOOKUP(D921,CategoryMap,2,0)</f>
        <v/>
      </c>
      <c r="G921">
        <f>ABS(E921-F921)</f>
        <v/>
      </c>
      <c r="H921">
        <f>IF(G921=0,"Yes","No")</f>
        <v/>
      </c>
      <c r="I921" t="inlineStr">
        <is>
          <t>Partial</t>
        </is>
      </c>
      <c r="J921">
        <f>IF(I921="","",IF(AND(I921=C921,I921=D921),"Both",IF(I921=C921,"Opus",IF(I921=D921,"Sonnet","Neither"))))</f>
        <v/>
      </c>
    </row>
    <row r="922">
      <c r="A922" t="inlineStr">
        <is>
          <t>R259</t>
        </is>
      </c>
      <c r="B922" t="inlineStr">
        <is>
          <t>Q1</t>
        </is>
      </c>
      <c r="C922" t="inlineStr">
        <is>
          <t>Partial</t>
        </is>
      </c>
      <c r="D922" t="inlineStr">
        <is>
          <t>Partial</t>
        </is>
      </c>
      <c r="E922">
        <f>VLOOKUP(C922,CategoryMap,2,0)</f>
        <v/>
      </c>
      <c r="F922">
        <f>VLOOKUP(D922,CategoryMap,2,0)</f>
        <v/>
      </c>
      <c r="G922">
        <f>ABS(E922-F922)</f>
        <v/>
      </c>
      <c r="H922">
        <f>IF(G922=0,"Yes","No")</f>
        <v/>
      </c>
      <c r="I922" t="inlineStr">
        <is>
          <t>Partial</t>
        </is>
      </c>
      <c r="J922">
        <f>IF(I922="","",IF(AND(I922=C922,I922=D922),"Both",IF(I922=C922,"Opus",IF(I922=D922,"Sonnet","Neither"))))</f>
        <v/>
      </c>
    </row>
    <row r="923">
      <c r="A923" t="inlineStr">
        <is>
          <t>R259</t>
        </is>
      </c>
      <c r="B923" t="inlineStr">
        <is>
          <t>Q2</t>
        </is>
      </c>
      <c r="C923" t="inlineStr">
        <is>
          <t>Partial</t>
        </is>
      </c>
      <c r="D923" t="inlineStr">
        <is>
          <t>Partial</t>
        </is>
      </c>
      <c r="E923">
        <f>VLOOKUP(C923,CategoryMap,2,0)</f>
        <v/>
      </c>
      <c r="F923">
        <f>VLOOKUP(D923,CategoryMap,2,0)</f>
        <v/>
      </c>
      <c r="G923">
        <f>ABS(E923-F923)</f>
        <v/>
      </c>
      <c r="H923">
        <f>IF(G923=0,"Yes","No")</f>
        <v/>
      </c>
      <c r="I923" t="inlineStr">
        <is>
          <t>Partial</t>
        </is>
      </c>
      <c r="J923">
        <f>IF(I923="","",IF(AND(I923=C923,I923=D923),"Both",IF(I923=C923,"Opus",IF(I923=D923,"Sonnet","Neither"))))</f>
        <v/>
      </c>
    </row>
    <row r="924">
      <c r="A924" t="inlineStr">
        <is>
          <t>R259</t>
        </is>
      </c>
      <c r="B924" t="inlineStr">
        <is>
          <t>Q3</t>
        </is>
      </c>
      <c r="C924" t="inlineStr">
        <is>
          <t>Yes</t>
        </is>
      </c>
      <c r="D924" t="inlineStr">
        <is>
          <t>Yes</t>
        </is>
      </c>
      <c r="E924">
        <f>VLOOKUP(C924,CategoryMap,2,0)</f>
        <v/>
      </c>
      <c r="F924">
        <f>VLOOKUP(D924,CategoryMap,2,0)</f>
        <v/>
      </c>
      <c r="G924">
        <f>ABS(E924-F924)</f>
        <v/>
      </c>
      <c r="H924">
        <f>IF(G924=0,"Yes","No")</f>
        <v/>
      </c>
      <c r="I924" t="inlineStr">
        <is>
          <t>Yes</t>
        </is>
      </c>
      <c r="J924">
        <f>IF(I924="","",IF(AND(I924=C924,I924=D924),"Both",IF(I924=C924,"Opus",IF(I924=D924,"Sonnet","Neither"))))</f>
        <v/>
      </c>
    </row>
    <row r="925">
      <c r="A925" t="inlineStr">
        <is>
          <t>R259</t>
        </is>
      </c>
      <c r="B925" t="inlineStr">
        <is>
          <t>Q4</t>
        </is>
      </c>
      <c r="C925" t="inlineStr">
        <is>
          <t>Partial</t>
        </is>
      </c>
      <c r="D925" t="inlineStr">
        <is>
          <t>Partial</t>
        </is>
      </c>
      <c r="E925">
        <f>VLOOKUP(C925,CategoryMap,2,0)</f>
        <v/>
      </c>
      <c r="F925">
        <f>VLOOKUP(D925,CategoryMap,2,0)</f>
        <v/>
      </c>
      <c r="G925">
        <f>ABS(E925-F925)</f>
        <v/>
      </c>
      <c r="H925">
        <f>IF(G925=0,"Yes","No")</f>
        <v/>
      </c>
      <c r="I925" t="inlineStr">
        <is>
          <t>Partial</t>
        </is>
      </c>
      <c r="J925">
        <f>IF(I925="","",IF(AND(I925=C925,I925=D925),"Both",IF(I925=C925,"Opus",IF(I925=D925,"Sonnet","Neither"))))</f>
        <v/>
      </c>
    </row>
    <row r="926">
      <c r="A926" t="inlineStr">
        <is>
          <t>R259</t>
        </is>
      </c>
      <c r="B926" t="inlineStr">
        <is>
          <t>Q5</t>
        </is>
      </c>
      <c r="C926" t="inlineStr">
        <is>
          <t>Yes</t>
        </is>
      </c>
      <c r="D926" t="inlineStr">
        <is>
          <t>Yes</t>
        </is>
      </c>
      <c r="E926">
        <f>VLOOKUP(C926,CategoryMap,2,0)</f>
        <v/>
      </c>
      <c r="F926">
        <f>VLOOKUP(D926,CategoryMap,2,0)</f>
        <v/>
      </c>
      <c r="G926">
        <f>ABS(E926-F926)</f>
        <v/>
      </c>
      <c r="H926">
        <f>IF(G926=0,"Yes","No")</f>
        <v/>
      </c>
      <c r="I926" t="inlineStr">
        <is>
          <t>Yes</t>
        </is>
      </c>
      <c r="J926">
        <f>IF(I926="","",IF(AND(I926=C926,I926=D926),"Both",IF(I926=C926,"Opus",IF(I926=D926,"Sonnet","Neither"))))</f>
        <v/>
      </c>
    </row>
    <row r="927">
      <c r="A927" t="inlineStr">
        <is>
          <t>R259</t>
        </is>
      </c>
      <c r="B927" t="inlineStr">
        <is>
          <t>Q6</t>
        </is>
      </c>
      <c r="C927" t="inlineStr">
        <is>
          <t>Yes</t>
        </is>
      </c>
      <c r="D927" t="inlineStr">
        <is>
          <t>Yes</t>
        </is>
      </c>
      <c r="E927">
        <f>VLOOKUP(C927,CategoryMap,2,0)</f>
        <v/>
      </c>
      <c r="F927">
        <f>VLOOKUP(D927,CategoryMap,2,0)</f>
        <v/>
      </c>
      <c r="G927">
        <f>ABS(E927-F927)</f>
        <v/>
      </c>
      <c r="H927">
        <f>IF(G927=0,"Yes","No")</f>
        <v/>
      </c>
      <c r="I927" t="inlineStr">
        <is>
          <t>Yes</t>
        </is>
      </c>
      <c r="J927">
        <f>IF(I927="","",IF(AND(I927=C927,I927=D927),"Both",IF(I927=C927,"Opus",IF(I927=D927,"Sonnet","Neither"))))</f>
        <v/>
      </c>
    </row>
    <row r="928">
      <c r="A928" t="inlineStr">
        <is>
          <t>R259</t>
        </is>
      </c>
      <c r="B928" t="inlineStr">
        <is>
          <t>Q7</t>
        </is>
      </c>
      <c r="C928" t="inlineStr">
        <is>
          <t>Partial</t>
        </is>
      </c>
      <c r="D928" t="inlineStr">
        <is>
          <t>Partial</t>
        </is>
      </c>
      <c r="E928">
        <f>VLOOKUP(C928,CategoryMap,2,0)</f>
        <v/>
      </c>
      <c r="F928">
        <f>VLOOKUP(D928,CategoryMap,2,0)</f>
        <v/>
      </c>
      <c r="G928">
        <f>ABS(E928-F928)</f>
        <v/>
      </c>
      <c r="H928">
        <f>IF(G928=0,"Yes","No")</f>
        <v/>
      </c>
      <c r="I928" t="inlineStr">
        <is>
          <t>Partial</t>
        </is>
      </c>
      <c r="J928">
        <f>IF(I928="","",IF(AND(I928=C928,I928=D928),"Both",IF(I928=C928,"Opus",IF(I928=D928,"Sonnet","Neither"))))</f>
        <v/>
      </c>
    </row>
    <row r="929">
      <c r="A929" t="inlineStr">
        <is>
          <t>R259</t>
        </is>
      </c>
      <c r="B929" t="inlineStr">
        <is>
          <t>Q8</t>
        </is>
      </c>
      <c r="C929" t="inlineStr">
        <is>
          <t>Partial</t>
        </is>
      </c>
      <c r="D929" t="inlineStr">
        <is>
          <t>Partial</t>
        </is>
      </c>
      <c r="E929">
        <f>VLOOKUP(C929,CategoryMap,2,0)</f>
        <v/>
      </c>
      <c r="F929">
        <f>VLOOKUP(D929,CategoryMap,2,0)</f>
        <v/>
      </c>
      <c r="G929">
        <f>ABS(E929-F929)</f>
        <v/>
      </c>
      <c r="H929">
        <f>IF(G929=0,"Yes","No")</f>
        <v/>
      </c>
      <c r="I929" t="inlineStr">
        <is>
          <t>Partial</t>
        </is>
      </c>
      <c r="J929">
        <f>IF(I929="","",IF(AND(I929=C929,I929=D929),"Both",IF(I929=C929,"Opus",IF(I929=D929,"Sonnet","Neither"))))</f>
        <v/>
      </c>
    </row>
    <row r="930">
      <c r="A930" t="inlineStr">
        <is>
          <t>R264</t>
        </is>
      </c>
      <c r="B930" t="inlineStr">
        <is>
          <t>Q1</t>
        </is>
      </c>
      <c r="C930" t="inlineStr">
        <is>
          <t>Yes</t>
        </is>
      </c>
      <c r="D930" t="inlineStr">
        <is>
          <t>Partial</t>
        </is>
      </c>
      <c r="E930">
        <f>VLOOKUP(C930,CategoryMap,2,0)</f>
        <v/>
      </c>
      <c r="F930">
        <f>VLOOKUP(D930,CategoryMap,2,0)</f>
        <v/>
      </c>
      <c r="G930">
        <f>ABS(E930-F930)</f>
        <v/>
      </c>
      <c r="H930">
        <f>IF(G930=0,"Yes","No")</f>
        <v/>
      </c>
      <c r="I930" t="inlineStr">
        <is>
          <t>Partial</t>
        </is>
      </c>
      <c r="J930">
        <f>IF(I930="","",IF(AND(I930=C930,I930=D930),"Both",IF(I930=C930,"Opus",IF(I930=D930,"Sonnet","Neither"))))</f>
        <v/>
      </c>
    </row>
    <row r="931">
      <c r="A931" t="inlineStr">
        <is>
          <t>R264</t>
        </is>
      </c>
      <c r="B931" t="inlineStr">
        <is>
          <t>Q2</t>
        </is>
      </c>
      <c r="C931" t="inlineStr">
        <is>
          <t>Yes</t>
        </is>
      </c>
      <c r="D931" t="inlineStr">
        <is>
          <t>Yes</t>
        </is>
      </c>
      <c r="E931">
        <f>VLOOKUP(C931,CategoryMap,2,0)</f>
        <v/>
      </c>
      <c r="F931">
        <f>VLOOKUP(D931,CategoryMap,2,0)</f>
        <v/>
      </c>
      <c r="G931">
        <f>ABS(E931-F931)</f>
        <v/>
      </c>
      <c r="H931">
        <f>IF(G931=0,"Yes","No")</f>
        <v/>
      </c>
      <c r="I931" t="inlineStr">
        <is>
          <t>Yes</t>
        </is>
      </c>
      <c r="J931">
        <f>IF(I931="","",IF(AND(I931=C931,I931=D931),"Both",IF(I931=C931,"Opus",IF(I931=D931,"Sonnet","Neither"))))</f>
        <v/>
      </c>
    </row>
    <row r="932">
      <c r="A932" t="inlineStr">
        <is>
          <t>R264</t>
        </is>
      </c>
      <c r="B932" t="inlineStr">
        <is>
          <t>Q3</t>
        </is>
      </c>
      <c r="C932" t="inlineStr">
        <is>
          <t>Yes</t>
        </is>
      </c>
      <c r="D932" t="inlineStr">
        <is>
          <t>Yes</t>
        </is>
      </c>
      <c r="E932">
        <f>VLOOKUP(C932,CategoryMap,2,0)</f>
        <v/>
      </c>
      <c r="F932">
        <f>VLOOKUP(D932,CategoryMap,2,0)</f>
        <v/>
      </c>
      <c r="G932">
        <f>ABS(E932-F932)</f>
        <v/>
      </c>
      <c r="H932">
        <f>IF(G932=0,"Yes","No")</f>
        <v/>
      </c>
      <c r="I932" t="inlineStr">
        <is>
          <t>Yes</t>
        </is>
      </c>
      <c r="J932">
        <f>IF(I932="","",IF(AND(I932=C932,I932=D932),"Both",IF(I932=C932,"Opus",IF(I932=D932,"Sonnet","Neither"))))</f>
        <v/>
      </c>
    </row>
    <row r="933">
      <c r="A933" t="inlineStr">
        <is>
          <t>R264</t>
        </is>
      </c>
      <c r="B933" t="inlineStr">
        <is>
          <t>Q4</t>
        </is>
      </c>
      <c r="C933" t="inlineStr">
        <is>
          <t>Partial</t>
        </is>
      </c>
      <c r="D933" t="inlineStr">
        <is>
          <t>Partial</t>
        </is>
      </c>
      <c r="E933">
        <f>VLOOKUP(C933,CategoryMap,2,0)</f>
        <v/>
      </c>
      <c r="F933">
        <f>VLOOKUP(D933,CategoryMap,2,0)</f>
        <v/>
      </c>
      <c r="G933">
        <f>ABS(E933-F933)</f>
        <v/>
      </c>
      <c r="H933">
        <f>IF(G933=0,"Yes","No")</f>
        <v/>
      </c>
      <c r="I933" t="inlineStr">
        <is>
          <t>Partial</t>
        </is>
      </c>
      <c r="J933">
        <f>IF(I933="","",IF(AND(I933=C933,I933=D933),"Both",IF(I933=C933,"Opus",IF(I933=D933,"Sonnet","Neither"))))</f>
        <v/>
      </c>
    </row>
    <row r="934">
      <c r="A934" t="inlineStr">
        <is>
          <t>R264</t>
        </is>
      </c>
      <c r="B934" t="inlineStr">
        <is>
          <t>Q5</t>
        </is>
      </c>
      <c r="C934" t="inlineStr">
        <is>
          <t>No</t>
        </is>
      </c>
      <c r="D934" t="inlineStr">
        <is>
          <t>No</t>
        </is>
      </c>
      <c r="E934">
        <f>VLOOKUP(C934,CategoryMap,2,0)</f>
        <v/>
      </c>
      <c r="F934">
        <f>VLOOKUP(D934,CategoryMap,2,0)</f>
        <v/>
      </c>
      <c r="G934">
        <f>ABS(E934-F934)</f>
        <v/>
      </c>
      <c r="H934">
        <f>IF(G934=0,"Yes","No")</f>
        <v/>
      </c>
      <c r="I934" t="inlineStr">
        <is>
          <t>No</t>
        </is>
      </c>
      <c r="J934">
        <f>IF(I934="","",IF(AND(I934=C934,I934=D934),"Both",IF(I934=C934,"Opus",IF(I934=D934,"Sonnet","Neither"))))</f>
        <v/>
      </c>
    </row>
    <row r="935">
      <c r="A935" t="inlineStr">
        <is>
          <t>R264</t>
        </is>
      </c>
      <c r="B935" t="inlineStr">
        <is>
          <t>Q6</t>
        </is>
      </c>
      <c r="C935" t="inlineStr">
        <is>
          <t>Partial</t>
        </is>
      </c>
      <c r="D935" t="inlineStr">
        <is>
          <t>No</t>
        </is>
      </c>
      <c r="E935">
        <f>VLOOKUP(C935,CategoryMap,2,0)</f>
        <v/>
      </c>
      <c r="F935">
        <f>VLOOKUP(D935,CategoryMap,2,0)</f>
        <v/>
      </c>
      <c r="G935">
        <f>ABS(E935-F935)</f>
        <v/>
      </c>
      <c r="H935">
        <f>IF(G935=0,"Yes","No")</f>
        <v/>
      </c>
      <c r="I935" t="inlineStr">
        <is>
          <t>No</t>
        </is>
      </c>
      <c r="J935">
        <f>IF(I935="","",IF(AND(I935=C935,I935=D935),"Both",IF(I935=C935,"Opus",IF(I935=D935,"Sonnet","Neither"))))</f>
        <v/>
      </c>
    </row>
    <row r="936">
      <c r="A936" t="inlineStr">
        <is>
          <t>R264</t>
        </is>
      </c>
      <c r="B936" t="inlineStr">
        <is>
          <t>Q7</t>
        </is>
      </c>
      <c r="C936" t="inlineStr">
        <is>
          <t>Partial</t>
        </is>
      </c>
      <c r="D936" t="inlineStr">
        <is>
          <t>No</t>
        </is>
      </c>
      <c r="E936">
        <f>VLOOKUP(C936,CategoryMap,2,0)</f>
        <v/>
      </c>
      <c r="F936">
        <f>VLOOKUP(D936,CategoryMap,2,0)</f>
        <v/>
      </c>
      <c r="G936">
        <f>ABS(E936-F936)</f>
        <v/>
      </c>
      <c r="H936">
        <f>IF(G936=0,"Yes","No")</f>
        <v/>
      </c>
      <c r="I936" t="inlineStr">
        <is>
          <t>No</t>
        </is>
      </c>
      <c r="J936">
        <f>IF(I936="","",IF(AND(I936=C936,I936=D936),"Both",IF(I936=C936,"Opus",IF(I936=D936,"Sonnet","Neither"))))</f>
        <v/>
      </c>
    </row>
    <row r="937">
      <c r="A937" t="inlineStr">
        <is>
          <t>R264</t>
        </is>
      </c>
      <c r="B937" t="inlineStr">
        <is>
          <t>Q8</t>
        </is>
      </c>
      <c r="C937" t="inlineStr">
        <is>
          <t>Partial</t>
        </is>
      </c>
      <c r="D937" t="inlineStr">
        <is>
          <t>No</t>
        </is>
      </c>
      <c r="E937">
        <f>VLOOKUP(C937,CategoryMap,2,0)</f>
        <v/>
      </c>
      <c r="F937">
        <f>VLOOKUP(D937,CategoryMap,2,0)</f>
        <v/>
      </c>
      <c r="G937">
        <f>ABS(E937-F937)</f>
        <v/>
      </c>
      <c r="H937">
        <f>IF(G937=0,"Yes","No")</f>
        <v/>
      </c>
      <c r="I937" t="inlineStr">
        <is>
          <t>No</t>
        </is>
      </c>
      <c r="J937">
        <f>IF(I937="","",IF(AND(I937=C937,I937=D937),"Both",IF(I937=C937,"Opus",IF(I937=D937,"Sonnet","Neither"))))</f>
        <v/>
      </c>
    </row>
    <row r="938">
      <c r="A938" t="inlineStr">
        <is>
          <t>R265</t>
        </is>
      </c>
      <c r="B938" t="inlineStr">
        <is>
          <t>Q1</t>
        </is>
      </c>
      <c r="C938" t="inlineStr">
        <is>
          <t>Yes</t>
        </is>
      </c>
      <c r="D938" t="inlineStr">
        <is>
          <t>Partial</t>
        </is>
      </c>
      <c r="E938">
        <f>VLOOKUP(C938,CategoryMap,2,0)</f>
        <v/>
      </c>
      <c r="F938">
        <f>VLOOKUP(D938,CategoryMap,2,0)</f>
        <v/>
      </c>
      <c r="G938">
        <f>ABS(E938-F938)</f>
        <v/>
      </c>
      <c r="H938">
        <f>IF(G938=0,"Yes","No")</f>
        <v/>
      </c>
      <c r="I938" t="inlineStr">
        <is>
          <t>Partial</t>
        </is>
      </c>
      <c r="J938">
        <f>IF(I938="","",IF(AND(I938=C938,I938=D938),"Both",IF(I938=C938,"Opus",IF(I938=D938,"Sonnet","Neither"))))</f>
        <v/>
      </c>
    </row>
    <row r="939">
      <c r="A939" t="inlineStr">
        <is>
          <t>R265</t>
        </is>
      </c>
      <c r="B939" t="inlineStr">
        <is>
          <t>Q2</t>
        </is>
      </c>
      <c r="C939" t="inlineStr">
        <is>
          <t>Yes</t>
        </is>
      </c>
      <c r="D939" t="inlineStr">
        <is>
          <t>Yes</t>
        </is>
      </c>
      <c r="E939">
        <f>VLOOKUP(C939,CategoryMap,2,0)</f>
        <v/>
      </c>
      <c r="F939">
        <f>VLOOKUP(D939,CategoryMap,2,0)</f>
        <v/>
      </c>
      <c r="G939">
        <f>ABS(E939-F939)</f>
        <v/>
      </c>
      <c r="H939">
        <f>IF(G939=0,"Yes","No")</f>
        <v/>
      </c>
      <c r="I939" t="inlineStr">
        <is>
          <t>Yes</t>
        </is>
      </c>
      <c r="J939">
        <f>IF(I939="","",IF(AND(I939=C939,I939=D939),"Both",IF(I939=C939,"Opus",IF(I939=D939,"Sonnet","Neither"))))</f>
        <v/>
      </c>
    </row>
    <row r="940">
      <c r="A940" t="inlineStr">
        <is>
          <t>R265</t>
        </is>
      </c>
      <c r="B940" t="inlineStr">
        <is>
          <t>Q3</t>
        </is>
      </c>
      <c r="C940" t="inlineStr">
        <is>
          <t>Yes</t>
        </is>
      </c>
      <c r="D940" t="inlineStr">
        <is>
          <t>Yes</t>
        </is>
      </c>
      <c r="E940">
        <f>VLOOKUP(C940,CategoryMap,2,0)</f>
        <v/>
      </c>
      <c r="F940">
        <f>VLOOKUP(D940,CategoryMap,2,0)</f>
        <v/>
      </c>
      <c r="G940">
        <f>ABS(E940-F940)</f>
        <v/>
      </c>
      <c r="H940">
        <f>IF(G940=0,"Yes","No")</f>
        <v/>
      </c>
      <c r="I940" t="inlineStr">
        <is>
          <t>Yes</t>
        </is>
      </c>
      <c r="J940">
        <f>IF(I940="","",IF(AND(I940=C940,I940=D940),"Both",IF(I940=C940,"Opus",IF(I940=D940,"Sonnet","Neither"))))</f>
        <v/>
      </c>
    </row>
    <row r="941">
      <c r="A941" t="inlineStr">
        <is>
          <t>R265</t>
        </is>
      </c>
      <c r="B941" t="inlineStr">
        <is>
          <t>Q4</t>
        </is>
      </c>
      <c r="C941" t="inlineStr">
        <is>
          <t>Partial</t>
        </is>
      </c>
      <c r="D941" t="inlineStr">
        <is>
          <t>No</t>
        </is>
      </c>
      <c r="E941">
        <f>VLOOKUP(C941,CategoryMap,2,0)</f>
        <v/>
      </c>
      <c r="F941">
        <f>VLOOKUP(D941,CategoryMap,2,0)</f>
        <v/>
      </c>
      <c r="G941">
        <f>ABS(E941-F941)</f>
        <v/>
      </c>
      <c r="H941">
        <f>IF(G941=0,"Yes","No")</f>
        <v/>
      </c>
      <c r="I941" t="inlineStr">
        <is>
          <t>No</t>
        </is>
      </c>
      <c r="J941">
        <f>IF(I941="","",IF(AND(I941=C941,I941=D941),"Both",IF(I941=C941,"Opus",IF(I941=D941,"Sonnet","Neither"))))</f>
        <v/>
      </c>
    </row>
    <row r="942">
      <c r="A942" t="inlineStr">
        <is>
          <t>R265</t>
        </is>
      </c>
      <c r="B942" t="inlineStr">
        <is>
          <t>Q5</t>
        </is>
      </c>
      <c r="C942" t="inlineStr">
        <is>
          <t>Partial</t>
        </is>
      </c>
      <c r="D942" t="inlineStr">
        <is>
          <t>Partial</t>
        </is>
      </c>
      <c r="E942">
        <f>VLOOKUP(C942,CategoryMap,2,0)</f>
        <v/>
      </c>
      <c r="F942">
        <f>VLOOKUP(D942,CategoryMap,2,0)</f>
        <v/>
      </c>
      <c r="G942">
        <f>ABS(E942-F942)</f>
        <v/>
      </c>
      <c r="H942">
        <f>IF(G942=0,"Yes","No")</f>
        <v/>
      </c>
      <c r="I942" t="inlineStr">
        <is>
          <t>Partial</t>
        </is>
      </c>
      <c r="J942">
        <f>IF(I942="","",IF(AND(I942=C942,I942=D942),"Both",IF(I942=C942,"Opus",IF(I942=D942,"Sonnet","Neither"))))</f>
        <v/>
      </c>
    </row>
    <row r="943">
      <c r="A943" t="inlineStr">
        <is>
          <t>R265</t>
        </is>
      </c>
      <c r="B943" t="inlineStr">
        <is>
          <t>Q6</t>
        </is>
      </c>
      <c r="C943" t="inlineStr">
        <is>
          <t>No</t>
        </is>
      </c>
      <c r="D943" t="inlineStr">
        <is>
          <t>No</t>
        </is>
      </c>
      <c r="E943">
        <f>VLOOKUP(C943,CategoryMap,2,0)</f>
        <v/>
      </c>
      <c r="F943">
        <f>VLOOKUP(D943,CategoryMap,2,0)</f>
        <v/>
      </c>
      <c r="G943">
        <f>ABS(E943-F943)</f>
        <v/>
      </c>
      <c r="H943">
        <f>IF(G943=0,"Yes","No")</f>
        <v/>
      </c>
      <c r="I943" t="inlineStr">
        <is>
          <t>No</t>
        </is>
      </c>
      <c r="J943">
        <f>IF(I943="","",IF(AND(I943=C943,I943=D943),"Both",IF(I943=C943,"Opus",IF(I943=D943,"Sonnet","Neither"))))</f>
        <v/>
      </c>
    </row>
    <row r="944">
      <c r="A944" t="inlineStr">
        <is>
          <t>R265</t>
        </is>
      </c>
      <c r="B944" t="inlineStr">
        <is>
          <t>Q7</t>
        </is>
      </c>
      <c r="C944" t="inlineStr">
        <is>
          <t>Partial</t>
        </is>
      </c>
      <c r="D944" t="inlineStr">
        <is>
          <t>No</t>
        </is>
      </c>
      <c r="E944">
        <f>VLOOKUP(C944,CategoryMap,2,0)</f>
        <v/>
      </c>
      <c r="F944">
        <f>VLOOKUP(D944,CategoryMap,2,0)</f>
        <v/>
      </c>
      <c r="G944">
        <f>ABS(E944-F944)</f>
        <v/>
      </c>
      <c r="H944">
        <f>IF(G944=0,"Yes","No")</f>
        <v/>
      </c>
      <c r="I944" t="inlineStr">
        <is>
          <t>No</t>
        </is>
      </c>
      <c r="J944">
        <f>IF(I944="","",IF(AND(I944=C944,I944=D944),"Both",IF(I944=C944,"Opus",IF(I944=D944,"Sonnet","Neither"))))</f>
        <v/>
      </c>
    </row>
    <row r="945">
      <c r="A945" t="inlineStr">
        <is>
          <t>R265</t>
        </is>
      </c>
      <c r="B945" t="inlineStr">
        <is>
          <t>Q8</t>
        </is>
      </c>
      <c r="C945" t="inlineStr">
        <is>
          <t>Partial</t>
        </is>
      </c>
      <c r="D945" t="inlineStr">
        <is>
          <t>Partial</t>
        </is>
      </c>
      <c r="E945">
        <f>VLOOKUP(C945,CategoryMap,2,0)</f>
        <v/>
      </c>
      <c r="F945">
        <f>VLOOKUP(D945,CategoryMap,2,0)</f>
        <v/>
      </c>
      <c r="G945">
        <f>ABS(E945-F945)</f>
        <v/>
      </c>
      <c r="H945">
        <f>IF(G945=0,"Yes","No")</f>
        <v/>
      </c>
      <c r="I945" t="inlineStr">
        <is>
          <t>Partial</t>
        </is>
      </c>
      <c r="J945">
        <f>IF(I945="","",IF(AND(I945=C945,I945=D945),"Both",IF(I945=C945,"Opus",IF(I945=D945,"Sonnet","Neither"))))</f>
        <v/>
      </c>
    </row>
    <row r="946">
      <c r="A946" t="inlineStr">
        <is>
          <t>R267</t>
        </is>
      </c>
      <c r="B946" t="inlineStr">
        <is>
          <t>Q1</t>
        </is>
      </c>
      <c r="C946" t="inlineStr">
        <is>
          <t>Partial</t>
        </is>
      </c>
      <c r="D946" t="inlineStr">
        <is>
          <t>No</t>
        </is>
      </c>
      <c r="E946">
        <f>VLOOKUP(C946,CategoryMap,2,0)</f>
        <v/>
      </c>
      <c r="F946">
        <f>VLOOKUP(D946,CategoryMap,2,0)</f>
        <v/>
      </c>
      <c r="G946">
        <f>ABS(E946-F946)</f>
        <v/>
      </c>
      <c r="H946">
        <f>IF(G946=0,"Yes","No")</f>
        <v/>
      </c>
      <c r="I946" t="inlineStr">
        <is>
          <t>No</t>
        </is>
      </c>
      <c r="J946">
        <f>IF(I946="","",IF(AND(I946=C946,I946=D946),"Both",IF(I946=C946,"Opus",IF(I946=D946,"Sonnet","Neither"))))</f>
        <v/>
      </c>
    </row>
    <row r="947">
      <c r="A947" t="inlineStr">
        <is>
          <t>R267</t>
        </is>
      </c>
      <c r="B947" t="inlineStr">
        <is>
          <t>Q2</t>
        </is>
      </c>
      <c r="C947" t="inlineStr">
        <is>
          <t>Partial</t>
        </is>
      </c>
      <c r="D947" t="inlineStr">
        <is>
          <t>Partial</t>
        </is>
      </c>
      <c r="E947">
        <f>VLOOKUP(C947,CategoryMap,2,0)</f>
        <v/>
      </c>
      <c r="F947">
        <f>VLOOKUP(D947,CategoryMap,2,0)</f>
        <v/>
      </c>
      <c r="G947">
        <f>ABS(E947-F947)</f>
        <v/>
      </c>
      <c r="H947">
        <f>IF(G947=0,"Yes","No")</f>
        <v/>
      </c>
      <c r="I947" t="inlineStr">
        <is>
          <t>Partial</t>
        </is>
      </c>
      <c r="J947">
        <f>IF(I947="","",IF(AND(I947=C947,I947=D947),"Both",IF(I947=C947,"Opus",IF(I947=D947,"Sonnet","Neither"))))</f>
        <v/>
      </c>
    </row>
    <row r="948">
      <c r="A948" t="inlineStr">
        <is>
          <t>R267</t>
        </is>
      </c>
      <c r="B948" t="inlineStr">
        <is>
          <t>Q3</t>
        </is>
      </c>
      <c r="C948" t="inlineStr">
        <is>
          <t>Yes</t>
        </is>
      </c>
      <c r="D948" t="inlineStr">
        <is>
          <t>Partial</t>
        </is>
      </c>
      <c r="E948">
        <f>VLOOKUP(C948,CategoryMap,2,0)</f>
        <v/>
      </c>
      <c r="F948">
        <f>VLOOKUP(D948,CategoryMap,2,0)</f>
        <v/>
      </c>
      <c r="G948">
        <f>ABS(E948-F948)</f>
        <v/>
      </c>
      <c r="H948">
        <f>IF(G948=0,"Yes","No")</f>
        <v/>
      </c>
      <c r="I948" t="inlineStr">
        <is>
          <t>Partial</t>
        </is>
      </c>
      <c r="J948">
        <f>IF(I948="","",IF(AND(I948=C948,I948=D948),"Both",IF(I948=C948,"Opus",IF(I948=D948,"Sonnet","Neither"))))</f>
        <v/>
      </c>
    </row>
    <row r="949">
      <c r="A949" t="inlineStr">
        <is>
          <t>R267</t>
        </is>
      </c>
      <c r="B949" t="inlineStr">
        <is>
          <t>Q4</t>
        </is>
      </c>
      <c r="C949" t="inlineStr">
        <is>
          <t>Partial</t>
        </is>
      </c>
      <c r="D949" t="inlineStr">
        <is>
          <t>Partial</t>
        </is>
      </c>
      <c r="E949">
        <f>VLOOKUP(C949,CategoryMap,2,0)</f>
        <v/>
      </c>
      <c r="F949">
        <f>VLOOKUP(D949,CategoryMap,2,0)</f>
        <v/>
      </c>
      <c r="G949">
        <f>ABS(E949-F949)</f>
        <v/>
      </c>
      <c r="H949">
        <f>IF(G949=0,"Yes","No")</f>
        <v/>
      </c>
      <c r="I949" t="inlineStr">
        <is>
          <t>Partial</t>
        </is>
      </c>
      <c r="J949">
        <f>IF(I949="","",IF(AND(I949=C949,I949=D949),"Both",IF(I949=C949,"Opus",IF(I949=D949,"Sonnet","Neither"))))</f>
        <v/>
      </c>
    </row>
    <row r="950">
      <c r="A950" t="inlineStr">
        <is>
          <t>R267</t>
        </is>
      </c>
      <c r="B950" t="inlineStr">
        <is>
          <t>Q5</t>
        </is>
      </c>
      <c r="C950" t="inlineStr">
        <is>
          <t>Partial</t>
        </is>
      </c>
      <c r="D950" t="inlineStr">
        <is>
          <t>Yes</t>
        </is>
      </c>
      <c r="E950">
        <f>VLOOKUP(C950,CategoryMap,2,0)</f>
        <v/>
      </c>
      <c r="F950">
        <f>VLOOKUP(D950,CategoryMap,2,0)</f>
        <v/>
      </c>
      <c r="G950">
        <f>ABS(E950-F950)</f>
        <v/>
      </c>
      <c r="H950">
        <f>IF(G950=0,"Yes","No")</f>
        <v/>
      </c>
      <c r="I950" t="inlineStr">
        <is>
          <t>Partial</t>
        </is>
      </c>
      <c r="J950">
        <f>IF(I950="","",IF(AND(I950=C950,I950=D950),"Both",IF(I950=C950,"Opus",IF(I950=D950,"Sonnet","Neither"))))</f>
        <v/>
      </c>
    </row>
    <row r="951">
      <c r="A951" t="inlineStr">
        <is>
          <t>R267</t>
        </is>
      </c>
      <c r="B951" t="inlineStr">
        <is>
          <t>Q6</t>
        </is>
      </c>
      <c r="C951" t="inlineStr">
        <is>
          <t>Partial</t>
        </is>
      </c>
      <c r="D951" t="inlineStr">
        <is>
          <t>Partial</t>
        </is>
      </c>
      <c r="E951">
        <f>VLOOKUP(C951,CategoryMap,2,0)</f>
        <v/>
      </c>
      <c r="F951">
        <f>VLOOKUP(D951,CategoryMap,2,0)</f>
        <v/>
      </c>
      <c r="G951">
        <f>ABS(E951-F951)</f>
        <v/>
      </c>
      <c r="H951">
        <f>IF(G951=0,"Yes","No")</f>
        <v/>
      </c>
      <c r="I951" t="inlineStr">
        <is>
          <t>Partial</t>
        </is>
      </c>
      <c r="J951">
        <f>IF(I951="","",IF(AND(I951=C951,I951=D951),"Both",IF(I951=C951,"Opus",IF(I951=D951,"Sonnet","Neither"))))</f>
        <v/>
      </c>
    </row>
    <row r="952">
      <c r="A952" t="inlineStr">
        <is>
          <t>R267</t>
        </is>
      </c>
      <c r="B952" t="inlineStr">
        <is>
          <t>Q7</t>
        </is>
      </c>
      <c r="C952" t="inlineStr">
        <is>
          <t>Partial</t>
        </is>
      </c>
      <c r="D952" t="inlineStr">
        <is>
          <t>Partial</t>
        </is>
      </c>
      <c r="E952">
        <f>VLOOKUP(C952,CategoryMap,2,0)</f>
        <v/>
      </c>
      <c r="F952">
        <f>VLOOKUP(D952,CategoryMap,2,0)</f>
        <v/>
      </c>
      <c r="G952">
        <f>ABS(E952-F952)</f>
        <v/>
      </c>
      <c r="H952">
        <f>IF(G952=0,"Yes","No")</f>
        <v/>
      </c>
      <c r="I952" t="inlineStr">
        <is>
          <t>Partial</t>
        </is>
      </c>
      <c r="J952">
        <f>IF(I952="","",IF(AND(I952=C952,I952=D952),"Both",IF(I952=C952,"Opus",IF(I952=D952,"Sonnet","Neither"))))</f>
        <v/>
      </c>
    </row>
    <row r="953">
      <c r="A953" t="inlineStr">
        <is>
          <t>R267</t>
        </is>
      </c>
      <c r="B953" t="inlineStr">
        <is>
          <t>Q8</t>
        </is>
      </c>
      <c r="C953" t="inlineStr">
        <is>
          <t>Partial</t>
        </is>
      </c>
      <c r="D953" t="inlineStr">
        <is>
          <t>Partial</t>
        </is>
      </c>
      <c r="E953">
        <f>VLOOKUP(C953,CategoryMap,2,0)</f>
        <v/>
      </c>
      <c r="F953">
        <f>VLOOKUP(D953,CategoryMap,2,0)</f>
        <v/>
      </c>
      <c r="G953">
        <f>ABS(E953-F953)</f>
        <v/>
      </c>
      <c r="H953">
        <f>IF(G953=0,"Yes","No")</f>
        <v/>
      </c>
      <c r="I953" t="inlineStr">
        <is>
          <t>Partial</t>
        </is>
      </c>
      <c r="J953">
        <f>IF(I953="","",IF(AND(I953=C953,I953=D953),"Both",IF(I953=C953,"Opus",IF(I953=D953,"Sonnet","Neither"))))</f>
        <v/>
      </c>
    </row>
    <row r="954">
      <c r="A954" t="inlineStr">
        <is>
          <t>R273</t>
        </is>
      </c>
      <c r="B954" t="inlineStr">
        <is>
          <t>Q1</t>
        </is>
      </c>
      <c r="C954" t="inlineStr">
        <is>
          <t>No</t>
        </is>
      </c>
      <c r="D954" t="inlineStr">
        <is>
          <t>No</t>
        </is>
      </c>
      <c r="E954">
        <f>VLOOKUP(C954,CategoryMap,2,0)</f>
        <v/>
      </c>
      <c r="F954">
        <f>VLOOKUP(D954,CategoryMap,2,0)</f>
        <v/>
      </c>
      <c r="G954">
        <f>ABS(E954-F954)</f>
        <v/>
      </c>
      <c r="H954">
        <f>IF(G954=0,"Yes","No")</f>
        <v/>
      </c>
      <c r="I954" t="inlineStr">
        <is>
          <t>No</t>
        </is>
      </c>
      <c r="J954">
        <f>IF(I954="","",IF(AND(I954=C954,I954=D954),"Both",IF(I954=C954,"Opus",IF(I954=D954,"Sonnet","Neither"))))</f>
        <v/>
      </c>
    </row>
    <row r="955">
      <c r="A955" t="inlineStr">
        <is>
          <t>R273</t>
        </is>
      </c>
      <c r="B955" t="inlineStr">
        <is>
          <t>Q2</t>
        </is>
      </c>
      <c r="C955" t="inlineStr">
        <is>
          <t>No</t>
        </is>
      </c>
      <c r="D955" t="inlineStr">
        <is>
          <t>No</t>
        </is>
      </c>
      <c r="E955">
        <f>VLOOKUP(C955,CategoryMap,2,0)</f>
        <v/>
      </c>
      <c r="F955">
        <f>VLOOKUP(D955,CategoryMap,2,0)</f>
        <v/>
      </c>
      <c r="G955">
        <f>ABS(E955-F955)</f>
        <v/>
      </c>
      <c r="H955">
        <f>IF(G955=0,"Yes","No")</f>
        <v/>
      </c>
      <c r="I955" t="inlineStr">
        <is>
          <t>No</t>
        </is>
      </c>
      <c r="J955">
        <f>IF(I955="","",IF(AND(I955=C955,I955=D955),"Both",IF(I955=C955,"Opus",IF(I955=D955,"Sonnet","Neither"))))</f>
        <v/>
      </c>
    </row>
    <row r="956">
      <c r="A956" t="inlineStr">
        <is>
          <t>R273</t>
        </is>
      </c>
      <c r="B956" t="inlineStr">
        <is>
          <t>Q3</t>
        </is>
      </c>
      <c r="C956" t="inlineStr">
        <is>
          <t>Partial</t>
        </is>
      </c>
      <c r="D956" t="inlineStr">
        <is>
          <t>No</t>
        </is>
      </c>
      <c r="E956">
        <f>VLOOKUP(C956,CategoryMap,2,0)</f>
        <v/>
      </c>
      <c r="F956">
        <f>VLOOKUP(D956,CategoryMap,2,0)</f>
        <v/>
      </c>
      <c r="G956">
        <f>ABS(E956-F956)</f>
        <v/>
      </c>
      <c r="H956">
        <f>IF(G956=0,"Yes","No")</f>
        <v/>
      </c>
      <c r="I956" t="inlineStr">
        <is>
          <t>No</t>
        </is>
      </c>
      <c r="J956">
        <f>IF(I956="","",IF(AND(I956=C956,I956=D956),"Both",IF(I956=C956,"Opus",IF(I956=D956,"Sonnet","Neither"))))</f>
        <v/>
      </c>
    </row>
    <row r="957">
      <c r="A957" t="inlineStr">
        <is>
          <t>R273</t>
        </is>
      </c>
      <c r="B957" t="inlineStr">
        <is>
          <t>Q4</t>
        </is>
      </c>
      <c r="C957" t="inlineStr">
        <is>
          <t>Partial</t>
        </is>
      </c>
      <c r="D957" t="inlineStr">
        <is>
          <t>Yes</t>
        </is>
      </c>
      <c r="E957">
        <f>VLOOKUP(C957,CategoryMap,2,0)</f>
        <v/>
      </c>
      <c r="F957">
        <f>VLOOKUP(D957,CategoryMap,2,0)</f>
        <v/>
      </c>
      <c r="G957">
        <f>ABS(E957-F957)</f>
        <v/>
      </c>
      <c r="H957">
        <f>IF(G957=0,"Yes","No")</f>
        <v/>
      </c>
      <c r="I957" t="inlineStr">
        <is>
          <t>Partial</t>
        </is>
      </c>
      <c r="J957">
        <f>IF(I957="","",IF(AND(I957=C957,I957=D957),"Both",IF(I957=C957,"Opus",IF(I957=D957,"Sonnet","Neither"))))</f>
        <v/>
      </c>
    </row>
    <row r="958">
      <c r="A958" t="inlineStr">
        <is>
          <t>R273</t>
        </is>
      </c>
      <c r="B958" t="inlineStr">
        <is>
          <t>Q5</t>
        </is>
      </c>
      <c r="C958" t="inlineStr">
        <is>
          <t>Yes</t>
        </is>
      </c>
      <c r="D958" t="inlineStr">
        <is>
          <t>Yes</t>
        </is>
      </c>
      <c r="E958">
        <f>VLOOKUP(C958,CategoryMap,2,0)</f>
        <v/>
      </c>
      <c r="F958">
        <f>VLOOKUP(D958,CategoryMap,2,0)</f>
        <v/>
      </c>
      <c r="G958">
        <f>ABS(E958-F958)</f>
        <v/>
      </c>
      <c r="H958">
        <f>IF(G958=0,"Yes","No")</f>
        <v/>
      </c>
      <c r="I958" t="inlineStr">
        <is>
          <t>Yes</t>
        </is>
      </c>
      <c r="J958">
        <f>IF(I958="","",IF(AND(I958=C958,I958=D958),"Both",IF(I958=C958,"Opus",IF(I958=D958,"Sonnet","Neither"))))</f>
        <v/>
      </c>
    </row>
    <row r="959">
      <c r="A959" t="inlineStr">
        <is>
          <t>R273</t>
        </is>
      </c>
      <c r="B959" t="inlineStr">
        <is>
          <t>Q6</t>
        </is>
      </c>
      <c r="C959" t="inlineStr">
        <is>
          <t>Yes</t>
        </is>
      </c>
      <c r="D959" t="inlineStr">
        <is>
          <t>Yes</t>
        </is>
      </c>
      <c r="E959">
        <f>VLOOKUP(C959,CategoryMap,2,0)</f>
        <v/>
      </c>
      <c r="F959">
        <f>VLOOKUP(D959,CategoryMap,2,0)</f>
        <v/>
      </c>
      <c r="G959">
        <f>ABS(E959-F959)</f>
        <v/>
      </c>
      <c r="H959">
        <f>IF(G959=0,"Yes","No")</f>
        <v/>
      </c>
      <c r="I959" t="inlineStr">
        <is>
          <t>Yes</t>
        </is>
      </c>
      <c r="J959">
        <f>IF(I959="","",IF(AND(I959=C959,I959=D959),"Both",IF(I959=C959,"Opus",IF(I959=D959,"Sonnet","Neither"))))</f>
        <v/>
      </c>
    </row>
    <row r="960">
      <c r="A960" t="inlineStr">
        <is>
          <t>R273</t>
        </is>
      </c>
      <c r="B960" t="inlineStr">
        <is>
          <t>Q7</t>
        </is>
      </c>
      <c r="C960" t="inlineStr">
        <is>
          <t>No</t>
        </is>
      </c>
      <c r="D960" t="inlineStr">
        <is>
          <t>No</t>
        </is>
      </c>
      <c r="E960">
        <f>VLOOKUP(C960,CategoryMap,2,0)</f>
        <v/>
      </c>
      <c r="F960">
        <f>VLOOKUP(D960,CategoryMap,2,0)</f>
        <v/>
      </c>
      <c r="G960">
        <f>ABS(E960-F960)</f>
        <v/>
      </c>
      <c r="H960">
        <f>IF(G960=0,"Yes","No")</f>
        <v/>
      </c>
      <c r="I960" t="inlineStr">
        <is>
          <t>No</t>
        </is>
      </c>
      <c r="J960">
        <f>IF(I960="","",IF(AND(I960=C960,I960=D960),"Both",IF(I960=C960,"Opus",IF(I960=D960,"Sonnet","Neither"))))</f>
        <v/>
      </c>
    </row>
    <row r="961">
      <c r="A961" t="inlineStr">
        <is>
          <t>R273</t>
        </is>
      </c>
      <c r="B961" t="inlineStr">
        <is>
          <t>Q8</t>
        </is>
      </c>
      <c r="C961" t="inlineStr">
        <is>
          <t>No</t>
        </is>
      </c>
      <c r="D961" t="inlineStr">
        <is>
          <t>No</t>
        </is>
      </c>
      <c r="E961">
        <f>VLOOKUP(C961,CategoryMap,2,0)</f>
        <v/>
      </c>
      <c r="F961">
        <f>VLOOKUP(D961,CategoryMap,2,0)</f>
        <v/>
      </c>
      <c r="G961">
        <f>ABS(E961-F961)</f>
        <v/>
      </c>
      <c r="H961">
        <f>IF(G961=0,"Yes","No")</f>
        <v/>
      </c>
      <c r="I961" t="inlineStr">
        <is>
          <t>No</t>
        </is>
      </c>
      <c r="J961">
        <f>IF(I961="","",IF(AND(I961=C961,I961=D961),"Both",IF(I961=C961,"Opus",IF(I961=D961,"Sonnet","Neither"))))</f>
        <v/>
      </c>
    </row>
    <row r="962">
      <c r="A962" t="inlineStr">
        <is>
          <t>R274</t>
        </is>
      </c>
      <c r="B962" t="inlineStr">
        <is>
          <t>Q1</t>
        </is>
      </c>
      <c r="C962" t="inlineStr">
        <is>
          <t>Partial</t>
        </is>
      </c>
      <c r="D962" t="inlineStr">
        <is>
          <t>Partial</t>
        </is>
      </c>
      <c r="E962">
        <f>VLOOKUP(C962,CategoryMap,2,0)</f>
        <v/>
      </c>
      <c r="F962">
        <f>VLOOKUP(D962,CategoryMap,2,0)</f>
        <v/>
      </c>
      <c r="G962">
        <f>ABS(E962-F962)</f>
        <v/>
      </c>
      <c r="H962">
        <f>IF(G962=0,"Yes","No")</f>
        <v/>
      </c>
      <c r="I962" t="inlineStr">
        <is>
          <t>Partial</t>
        </is>
      </c>
      <c r="J962">
        <f>IF(I962="","",IF(AND(I962=C962,I962=D962),"Both",IF(I962=C962,"Opus",IF(I962=D962,"Sonnet","Neither"))))</f>
        <v/>
      </c>
    </row>
    <row r="963">
      <c r="A963" t="inlineStr">
        <is>
          <t>R274</t>
        </is>
      </c>
      <c r="B963" t="inlineStr">
        <is>
          <t>Q2</t>
        </is>
      </c>
      <c r="C963" t="inlineStr">
        <is>
          <t>Partial</t>
        </is>
      </c>
      <c r="D963" t="inlineStr">
        <is>
          <t>Partial</t>
        </is>
      </c>
      <c r="E963">
        <f>VLOOKUP(C963,CategoryMap,2,0)</f>
        <v/>
      </c>
      <c r="F963">
        <f>VLOOKUP(D963,CategoryMap,2,0)</f>
        <v/>
      </c>
      <c r="G963">
        <f>ABS(E963-F963)</f>
        <v/>
      </c>
      <c r="H963">
        <f>IF(G963=0,"Yes","No")</f>
        <v/>
      </c>
      <c r="I963" t="inlineStr">
        <is>
          <t>Partial</t>
        </is>
      </c>
      <c r="J963">
        <f>IF(I963="","",IF(AND(I963=C963,I963=D963),"Both",IF(I963=C963,"Opus",IF(I963=D963,"Sonnet","Neither"))))</f>
        <v/>
      </c>
    </row>
    <row r="964">
      <c r="A964" t="inlineStr">
        <is>
          <t>R274</t>
        </is>
      </c>
      <c r="B964" t="inlineStr">
        <is>
          <t>Q3</t>
        </is>
      </c>
      <c r="C964" t="inlineStr">
        <is>
          <t>Yes</t>
        </is>
      </c>
      <c r="D964" t="inlineStr">
        <is>
          <t>Partial</t>
        </is>
      </c>
      <c r="E964">
        <f>VLOOKUP(C964,CategoryMap,2,0)</f>
        <v/>
      </c>
      <c r="F964">
        <f>VLOOKUP(D964,CategoryMap,2,0)</f>
        <v/>
      </c>
      <c r="G964">
        <f>ABS(E964-F964)</f>
        <v/>
      </c>
      <c r="H964">
        <f>IF(G964=0,"Yes","No")</f>
        <v/>
      </c>
      <c r="I964" t="inlineStr">
        <is>
          <t>Yes</t>
        </is>
      </c>
      <c r="J964">
        <f>IF(I964="","",IF(AND(I964=C964,I964=D964),"Both",IF(I964=C964,"Opus",IF(I964=D964,"Sonnet","Neither"))))</f>
        <v/>
      </c>
    </row>
    <row r="965">
      <c r="A965" t="inlineStr">
        <is>
          <t>R274</t>
        </is>
      </c>
      <c r="B965" t="inlineStr">
        <is>
          <t>Q4</t>
        </is>
      </c>
      <c r="C965" t="inlineStr">
        <is>
          <t>Partial</t>
        </is>
      </c>
      <c r="D965" t="inlineStr">
        <is>
          <t>Yes</t>
        </is>
      </c>
      <c r="E965">
        <f>VLOOKUP(C965,CategoryMap,2,0)</f>
        <v/>
      </c>
      <c r="F965">
        <f>VLOOKUP(D965,CategoryMap,2,0)</f>
        <v/>
      </c>
      <c r="G965">
        <f>ABS(E965-F965)</f>
        <v/>
      </c>
      <c r="H965">
        <f>IF(G965=0,"Yes","No")</f>
        <v/>
      </c>
      <c r="I965" t="inlineStr">
        <is>
          <t>Partial</t>
        </is>
      </c>
      <c r="J965">
        <f>IF(I965="","",IF(AND(I965=C965,I965=D965),"Both",IF(I965=C965,"Opus",IF(I965=D965,"Sonnet","Neither"))))</f>
        <v/>
      </c>
    </row>
    <row r="966">
      <c r="A966" t="inlineStr">
        <is>
          <t>R274</t>
        </is>
      </c>
      <c r="B966" t="inlineStr">
        <is>
          <t>Q5</t>
        </is>
      </c>
      <c r="C966" t="inlineStr">
        <is>
          <t>Yes</t>
        </is>
      </c>
      <c r="D966" t="inlineStr">
        <is>
          <t>Yes</t>
        </is>
      </c>
      <c r="E966">
        <f>VLOOKUP(C966,CategoryMap,2,0)</f>
        <v/>
      </c>
      <c r="F966">
        <f>VLOOKUP(D966,CategoryMap,2,0)</f>
        <v/>
      </c>
      <c r="G966">
        <f>ABS(E966-F966)</f>
        <v/>
      </c>
      <c r="H966">
        <f>IF(G966=0,"Yes","No")</f>
        <v/>
      </c>
      <c r="I966" t="inlineStr">
        <is>
          <t>Yes</t>
        </is>
      </c>
      <c r="J966">
        <f>IF(I966="","",IF(AND(I966=C966,I966=D966),"Both",IF(I966=C966,"Opus",IF(I966=D966,"Sonnet","Neither"))))</f>
        <v/>
      </c>
    </row>
    <row r="967">
      <c r="A967" t="inlineStr">
        <is>
          <t>R274</t>
        </is>
      </c>
      <c r="B967" t="inlineStr">
        <is>
          <t>Q6</t>
        </is>
      </c>
      <c r="C967" t="inlineStr">
        <is>
          <t>Yes</t>
        </is>
      </c>
      <c r="D967" t="inlineStr">
        <is>
          <t>Yes</t>
        </is>
      </c>
      <c r="E967">
        <f>VLOOKUP(C967,CategoryMap,2,0)</f>
        <v/>
      </c>
      <c r="F967">
        <f>VLOOKUP(D967,CategoryMap,2,0)</f>
        <v/>
      </c>
      <c r="G967">
        <f>ABS(E967-F967)</f>
        <v/>
      </c>
      <c r="H967">
        <f>IF(G967=0,"Yes","No")</f>
        <v/>
      </c>
      <c r="I967" t="inlineStr">
        <is>
          <t>Yes</t>
        </is>
      </c>
      <c r="J967">
        <f>IF(I967="","",IF(AND(I967=C967,I967=D967),"Both",IF(I967=C967,"Opus",IF(I967=D967,"Sonnet","Neither"))))</f>
        <v/>
      </c>
    </row>
    <row r="968">
      <c r="A968" t="inlineStr">
        <is>
          <t>R274</t>
        </is>
      </c>
      <c r="B968" t="inlineStr">
        <is>
          <t>Q7</t>
        </is>
      </c>
      <c r="C968" t="inlineStr">
        <is>
          <t>Yes</t>
        </is>
      </c>
      <c r="D968" t="inlineStr">
        <is>
          <t>Yes</t>
        </is>
      </c>
      <c r="E968">
        <f>VLOOKUP(C968,CategoryMap,2,0)</f>
        <v/>
      </c>
      <c r="F968">
        <f>VLOOKUP(D968,CategoryMap,2,0)</f>
        <v/>
      </c>
      <c r="G968">
        <f>ABS(E968-F968)</f>
        <v/>
      </c>
      <c r="H968">
        <f>IF(G968=0,"Yes","No")</f>
        <v/>
      </c>
      <c r="I968" t="inlineStr">
        <is>
          <t>Yes</t>
        </is>
      </c>
      <c r="J968">
        <f>IF(I968="","",IF(AND(I968=C968,I968=D968),"Both",IF(I968=C968,"Opus",IF(I968=D968,"Sonnet","Neither"))))</f>
        <v/>
      </c>
    </row>
    <row r="969">
      <c r="A969" t="inlineStr">
        <is>
          <t>R274</t>
        </is>
      </c>
      <c r="B969" t="inlineStr">
        <is>
          <t>Q8</t>
        </is>
      </c>
      <c r="C969" t="inlineStr">
        <is>
          <t>Partial</t>
        </is>
      </c>
      <c r="D969" t="inlineStr">
        <is>
          <t>No</t>
        </is>
      </c>
      <c r="E969">
        <f>VLOOKUP(C969,CategoryMap,2,0)</f>
        <v/>
      </c>
      <c r="F969">
        <f>VLOOKUP(D969,CategoryMap,2,0)</f>
        <v/>
      </c>
      <c r="G969">
        <f>ABS(E969-F969)</f>
        <v/>
      </c>
      <c r="H969">
        <f>IF(G969=0,"Yes","No")</f>
        <v/>
      </c>
      <c r="I969" t="inlineStr">
        <is>
          <t>Partial</t>
        </is>
      </c>
      <c r="J969">
        <f>IF(I969="","",IF(AND(I969=C969,I969=D969),"Both",IF(I969=C969,"Opus",IF(I969=D969,"Sonnet","Neither"))))</f>
        <v/>
      </c>
    </row>
    <row r="970">
      <c r="A970" t="inlineStr">
        <is>
          <t>R277</t>
        </is>
      </c>
      <c r="B970" t="inlineStr">
        <is>
          <t>Q1</t>
        </is>
      </c>
      <c r="C970" t="inlineStr">
        <is>
          <t>No</t>
        </is>
      </c>
      <c r="D970" t="inlineStr">
        <is>
          <t>No</t>
        </is>
      </c>
      <c r="E970">
        <f>VLOOKUP(C970,CategoryMap,2,0)</f>
        <v/>
      </c>
      <c r="F970">
        <f>VLOOKUP(D970,CategoryMap,2,0)</f>
        <v/>
      </c>
      <c r="G970">
        <f>ABS(E970-F970)</f>
        <v/>
      </c>
      <c r="H970">
        <f>IF(G970=0,"Yes","No")</f>
        <v/>
      </c>
      <c r="I970" t="inlineStr">
        <is>
          <t>No</t>
        </is>
      </c>
      <c r="J970">
        <f>IF(I970="","",IF(AND(I970=C970,I970=D970),"Both",IF(I970=C970,"Opus",IF(I970=D970,"Sonnet","Neither"))))</f>
        <v/>
      </c>
    </row>
    <row r="971">
      <c r="A971" t="inlineStr">
        <is>
          <t>R277</t>
        </is>
      </c>
      <c r="B971" t="inlineStr">
        <is>
          <t>Q2</t>
        </is>
      </c>
      <c r="C971" t="inlineStr">
        <is>
          <t>No</t>
        </is>
      </c>
      <c r="D971" t="inlineStr">
        <is>
          <t>No</t>
        </is>
      </c>
      <c r="E971">
        <f>VLOOKUP(C971,CategoryMap,2,0)</f>
        <v/>
      </c>
      <c r="F971">
        <f>VLOOKUP(D971,CategoryMap,2,0)</f>
        <v/>
      </c>
      <c r="G971">
        <f>ABS(E971-F971)</f>
        <v/>
      </c>
      <c r="H971">
        <f>IF(G971=0,"Yes","No")</f>
        <v/>
      </c>
      <c r="I971" t="inlineStr">
        <is>
          <t>No</t>
        </is>
      </c>
      <c r="J971">
        <f>IF(I971="","",IF(AND(I971=C971,I971=D971),"Both",IF(I971=C971,"Opus",IF(I971=D971,"Sonnet","Neither"))))</f>
        <v/>
      </c>
    </row>
    <row r="972">
      <c r="A972" t="inlineStr">
        <is>
          <t>R277</t>
        </is>
      </c>
      <c r="B972" t="inlineStr">
        <is>
          <t>Q3</t>
        </is>
      </c>
      <c r="C972" t="inlineStr">
        <is>
          <t>Partial</t>
        </is>
      </c>
      <c r="D972" t="inlineStr">
        <is>
          <t>Partial</t>
        </is>
      </c>
      <c r="E972">
        <f>VLOOKUP(C972,CategoryMap,2,0)</f>
        <v/>
      </c>
      <c r="F972">
        <f>VLOOKUP(D972,CategoryMap,2,0)</f>
        <v/>
      </c>
      <c r="G972">
        <f>ABS(E972-F972)</f>
        <v/>
      </c>
      <c r="H972">
        <f>IF(G972=0,"Yes","No")</f>
        <v/>
      </c>
      <c r="I972" t="inlineStr">
        <is>
          <t>Partial</t>
        </is>
      </c>
      <c r="J972">
        <f>IF(I972="","",IF(AND(I972=C972,I972=D972),"Both",IF(I972=C972,"Opus",IF(I972=D972,"Sonnet","Neither"))))</f>
        <v/>
      </c>
    </row>
    <row r="973">
      <c r="A973" t="inlineStr">
        <is>
          <t>R277</t>
        </is>
      </c>
      <c r="B973" t="inlineStr">
        <is>
          <t>Q4</t>
        </is>
      </c>
      <c r="C973" t="inlineStr">
        <is>
          <t>No</t>
        </is>
      </c>
      <c r="D973" t="inlineStr">
        <is>
          <t>Partial</t>
        </is>
      </c>
      <c r="E973">
        <f>VLOOKUP(C973,CategoryMap,2,0)</f>
        <v/>
      </c>
      <c r="F973">
        <f>VLOOKUP(D973,CategoryMap,2,0)</f>
        <v/>
      </c>
      <c r="G973">
        <f>ABS(E973-F973)</f>
        <v/>
      </c>
      <c r="H973">
        <f>IF(G973=0,"Yes","No")</f>
        <v/>
      </c>
      <c r="I973" t="inlineStr">
        <is>
          <t>No</t>
        </is>
      </c>
      <c r="J973">
        <f>IF(I973="","",IF(AND(I973=C973,I973=D973),"Both",IF(I973=C973,"Opus",IF(I973=D973,"Sonnet","Neither"))))</f>
        <v/>
      </c>
    </row>
    <row r="974">
      <c r="A974" t="inlineStr">
        <is>
          <t>R277</t>
        </is>
      </c>
      <c r="B974" t="inlineStr">
        <is>
          <t>Q5</t>
        </is>
      </c>
      <c r="C974" t="inlineStr">
        <is>
          <t>Yes</t>
        </is>
      </c>
      <c r="D974" t="inlineStr">
        <is>
          <t>Yes</t>
        </is>
      </c>
      <c r="E974">
        <f>VLOOKUP(C974,CategoryMap,2,0)</f>
        <v/>
      </c>
      <c r="F974">
        <f>VLOOKUP(D974,CategoryMap,2,0)</f>
        <v/>
      </c>
      <c r="G974">
        <f>ABS(E974-F974)</f>
        <v/>
      </c>
      <c r="H974">
        <f>IF(G974=0,"Yes","No")</f>
        <v/>
      </c>
      <c r="I974" t="inlineStr">
        <is>
          <t>Yes</t>
        </is>
      </c>
      <c r="J974">
        <f>IF(I974="","",IF(AND(I974=C974,I974=D974),"Both",IF(I974=C974,"Opus",IF(I974=D974,"Sonnet","Neither"))))</f>
        <v/>
      </c>
    </row>
    <row r="975">
      <c r="A975" t="inlineStr">
        <is>
          <t>R277</t>
        </is>
      </c>
      <c r="B975" t="inlineStr">
        <is>
          <t>Q6</t>
        </is>
      </c>
      <c r="C975" t="inlineStr">
        <is>
          <t>Partial</t>
        </is>
      </c>
      <c r="D975" t="inlineStr">
        <is>
          <t>Yes</t>
        </is>
      </c>
      <c r="E975">
        <f>VLOOKUP(C975,CategoryMap,2,0)</f>
        <v/>
      </c>
      <c r="F975">
        <f>VLOOKUP(D975,CategoryMap,2,0)</f>
        <v/>
      </c>
      <c r="G975">
        <f>ABS(E975-F975)</f>
        <v/>
      </c>
      <c r="H975">
        <f>IF(G975=0,"Yes","No")</f>
        <v/>
      </c>
      <c r="I975" t="inlineStr">
        <is>
          <t>Partial</t>
        </is>
      </c>
      <c r="J975">
        <f>IF(I975="","",IF(AND(I975=C975,I975=D975),"Both",IF(I975=C975,"Opus",IF(I975=D975,"Sonnet","Neither"))))</f>
        <v/>
      </c>
    </row>
    <row r="976">
      <c r="A976" t="inlineStr">
        <is>
          <t>R277</t>
        </is>
      </c>
      <c r="B976" t="inlineStr">
        <is>
          <t>Q7</t>
        </is>
      </c>
      <c r="C976" t="inlineStr">
        <is>
          <t>Partial</t>
        </is>
      </c>
      <c r="D976" t="inlineStr">
        <is>
          <t>No</t>
        </is>
      </c>
      <c r="E976">
        <f>VLOOKUP(C976,CategoryMap,2,0)</f>
        <v/>
      </c>
      <c r="F976">
        <f>VLOOKUP(D976,CategoryMap,2,0)</f>
        <v/>
      </c>
      <c r="G976">
        <f>ABS(E976-F976)</f>
        <v/>
      </c>
      <c r="H976">
        <f>IF(G976=0,"Yes","No")</f>
        <v/>
      </c>
      <c r="I976" t="inlineStr">
        <is>
          <t>No</t>
        </is>
      </c>
      <c r="J976">
        <f>IF(I976="","",IF(AND(I976=C976,I976=D976),"Both",IF(I976=C976,"Opus",IF(I976=D976,"Sonnet","Neither"))))</f>
        <v/>
      </c>
    </row>
    <row r="977">
      <c r="A977" t="inlineStr">
        <is>
          <t>R277</t>
        </is>
      </c>
      <c r="B977" t="inlineStr">
        <is>
          <t>Q8</t>
        </is>
      </c>
      <c r="C977" t="inlineStr">
        <is>
          <t>Partial</t>
        </is>
      </c>
      <c r="D977" t="inlineStr">
        <is>
          <t>No</t>
        </is>
      </c>
      <c r="E977">
        <f>VLOOKUP(C977,CategoryMap,2,0)</f>
        <v/>
      </c>
      <c r="F977">
        <f>VLOOKUP(D977,CategoryMap,2,0)</f>
        <v/>
      </c>
      <c r="G977">
        <f>ABS(E977-F977)</f>
        <v/>
      </c>
      <c r="H977">
        <f>IF(G977=0,"Yes","No")</f>
        <v/>
      </c>
      <c r="I977" t="inlineStr">
        <is>
          <t>No</t>
        </is>
      </c>
      <c r="J977">
        <f>IF(I977="","",IF(AND(I977=C977,I977=D977),"Both",IF(I977=C977,"Opus",IF(I977=D977,"Sonnet","Neither"))))</f>
        <v/>
      </c>
    </row>
    <row r="978">
      <c r="A978" t="inlineStr">
        <is>
          <t>R278</t>
        </is>
      </c>
      <c r="B978" t="inlineStr">
        <is>
          <t>Q1</t>
        </is>
      </c>
      <c r="C978" t="inlineStr">
        <is>
          <t>No</t>
        </is>
      </c>
      <c r="D978" t="inlineStr">
        <is>
          <t>No</t>
        </is>
      </c>
      <c r="E978">
        <f>VLOOKUP(C978,CategoryMap,2,0)</f>
        <v/>
      </c>
      <c r="F978">
        <f>VLOOKUP(D978,CategoryMap,2,0)</f>
        <v/>
      </c>
      <c r="G978">
        <f>ABS(E978-F978)</f>
        <v/>
      </c>
      <c r="H978">
        <f>IF(G978=0,"Yes","No")</f>
        <v/>
      </c>
      <c r="I978" t="inlineStr">
        <is>
          <t>No</t>
        </is>
      </c>
      <c r="J978">
        <f>IF(I978="","",IF(AND(I978=C978,I978=D978),"Both",IF(I978=C978,"Opus",IF(I978=D978,"Sonnet","Neither"))))</f>
        <v/>
      </c>
    </row>
    <row r="979">
      <c r="A979" t="inlineStr">
        <is>
          <t>R278</t>
        </is>
      </c>
      <c r="B979" t="inlineStr">
        <is>
          <t>Q2</t>
        </is>
      </c>
      <c r="C979" t="inlineStr">
        <is>
          <t>No</t>
        </is>
      </c>
      <c r="D979" t="inlineStr">
        <is>
          <t>No</t>
        </is>
      </c>
      <c r="E979">
        <f>VLOOKUP(C979,CategoryMap,2,0)</f>
        <v/>
      </c>
      <c r="F979">
        <f>VLOOKUP(D979,CategoryMap,2,0)</f>
        <v/>
      </c>
      <c r="G979">
        <f>ABS(E979-F979)</f>
        <v/>
      </c>
      <c r="H979">
        <f>IF(G979=0,"Yes","No")</f>
        <v/>
      </c>
      <c r="I979" t="inlineStr">
        <is>
          <t>No</t>
        </is>
      </c>
      <c r="J979">
        <f>IF(I979="","",IF(AND(I979=C979,I979=D979),"Both",IF(I979=C979,"Opus",IF(I979=D979,"Sonnet","Neither"))))</f>
        <v/>
      </c>
    </row>
    <row r="980">
      <c r="A980" t="inlineStr">
        <is>
          <t>R278</t>
        </is>
      </c>
      <c r="B980" t="inlineStr">
        <is>
          <t>Q3</t>
        </is>
      </c>
      <c r="C980" t="inlineStr">
        <is>
          <t>Partial</t>
        </is>
      </c>
      <c r="D980" t="inlineStr">
        <is>
          <t>No</t>
        </is>
      </c>
      <c r="E980">
        <f>VLOOKUP(C980,CategoryMap,2,0)</f>
        <v/>
      </c>
      <c r="F980">
        <f>VLOOKUP(D980,CategoryMap,2,0)</f>
        <v/>
      </c>
      <c r="G980">
        <f>ABS(E980-F980)</f>
        <v/>
      </c>
      <c r="H980">
        <f>IF(G980=0,"Yes","No")</f>
        <v/>
      </c>
      <c r="I980" t="inlineStr">
        <is>
          <t>No</t>
        </is>
      </c>
      <c r="J980">
        <f>IF(I980="","",IF(AND(I980=C980,I980=D980),"Both",IF(I980=C980,"Opus",IF(I980=D980,"Sonnet","Neither"))))</f>
        <v/>
      </c>
    </row>
    <row r="981">
      <c r="A981" t="inlineStr">
        <is>
          <t>R278</t>
        </is>
      </c>
      <c r="B981" t="inlineStr">
        <is>
          <t>Q4</t>
        </is>
      </c>
      <c r="C981" t="inlineStr">
        <is>
          <t>Partial</t>
        </is>
      </c>
      <c r="D981" t="inlineStr">
        <is>
          <t>Partial</t>
        </is>
      </c>
      <c r="E981">
        <f>VLOOKUP(C981,CategoryMap,2,0)</f>
        <v/>
      </c>
      <c r="F981">
        <f>VLOOKUP(D981,CategoryMap,2,0)</f>
        <v/>
      </c>
      <c r="G981">
        <f>ABS(E981-F981)</f>
        <v/>
      </c>
      <c r="H981">
        <f>IF(G981=0,"Yes","No")</f>
        <v/>
      </c>
      <c r="I981" t="inlineStr">
        <is>
          <t>Partial</t>
        </is>
      </c>
      <c r="J981">
        <f>IF(I981="","",IF(AND(I981=C981,I981=D981),"Both",IF(I981=C981,"Opus",IF(I981=D981,"Sonnet","Neither"))))</f>
        <v/>
      </c>
    </row>
    <row r="982">
      <c r="A982" t="inlineStr">
        <is>
          <t>R278</t>
        </is>
      </c>
      <c r="B982" t="inlineStr">
        <is>
          <t>Q5</t>
        </is>
      </c>
      <c r="C982" t="inlineStr">
        <is>
          <t>Yes</t>
        </is>
      </c>
      <c r="D982" t="inlineStr">
        <is>
          <t>Yes</t>
        </is>
      </c>
      <c r="E982">
        <f>VLOOKUP(C982,CategoryMap,2,0)</f>
        <v/>
      </c>
      <c r="F982">
        <f>VLOOKUP(D982,CategoryMap,2,0)</f>
        <v/>
      </c>
      <c r="G982">
        <f>ABS(E982-F982)</f>
        <v/>
      </c>
      <c r="H982">
        <f>IF(G982=0,"Yes","No")</f>
        <v/>
      </c>
      <c r="I982" t="inlineStr">
        <is>
          <t>Yes</t>
        </is>
      </c>
      <c r="J982">
        <f>IF(I982="","",IF(AND(I982=C982,I982=D982),"Both",IF(I982=C982,"Opus",IF(I982=D982,"Sonnet","Neither"))))</f>
        <v/>
      </c>
    </row>
    <row r="983">
      <c r="A983" t="inlineStr">
        <is>
          <t>R278</t>
        </is>
      </c>
      <c r="B983" t="inlineStr">
        <is>
          <t>Q6</t>
        </is>
      </c>
      <c r="C983" t="inlineStr">
        <is>
          <t>Yes</t>
        </is>
      </c>
      <c r="D983" t="inlineStr">
        <is>
          <t>Yes</t>
        </is>
      </c>
      <c r="E983">
        <f>VLOOKUP(C983,CategoryMap,2,0)</f>
        <v/>
      </c>
      <c r="F983">
        <f>VLOOKUP(D983,CategoryMap,2,0)</f>
        <v/>
      </c>
      <c r="G983">
        <f>ABS(E983-F983)</f>
        <v/>
      </c>
      <c r="H983">
        <f>IF(G983=0,"Yes","No")</f>
        <v/>
      </c>
      <c r="I983" t="inlineStr">
        <is>
          <t>Yes</t>
        </is>
      </c>
      <c r="J983">
        <f>IF(I983="","",IF(AND(I983=C983,I983=D983),"Both",IF(I983=C983,"Opus",IF(I983=D983,"Sonnet","Neither"))))</f>
        <v/>
      </c>
    </row>
    <row r="984">
      <c r="A984" t="inlineStr">
        <is>
          <t>R278</t>
        </is>
      </c>
      <c r="B984" t="inlineStr">
        <is>
          <t>Q7</t>
        </is>
      </c>
      <c r="C984" t="inlineStr">
        <is>
          <t>Partial</t>
        </is>
      </c>
      <c r="D984" t="inlineStr">
        <is>
          <t>No</t>
        </is>
      </c>
      <c r="E984">
        <f>VLOOKUP(C984,CategoryMap,2,0)</f>
        <v/>
      </c>
      <c r="F984">
        <f>VLOOKUP(D984,CategoryMap,2,0)</f>
        <v/>
      </c>
      <c r="G984">
        <f>ABS(E984-F984)</f>
        <v/>
      </c>
      <c r="H984">
        <f>IF(G984=0,"Yes","No")</f>
        <v/>
      </c>
      <c r="I984" t="inlineStr">
        <is>
          <t>No</t>
        </is>
      </c>
      <c r="J984">
        <f>IF(I984="","",IF(AND(I984=C984,I984=D984),"Both",IF(I984=C984,"Opus",IF(I984=D984,"Sonnet","Neither"))))</f>
        <v/>
      </c>
    </row>
    <row r="985">
      <c r="A985" t="inlineStr">
        <is>
          <t>R278</t>
        </is>
      </c>
      <c r="B985" t="inlineStr">
        <is>
          <t>Q8</t>
        </is>
      </c>
      <c r="C985" t="inlineStr">
        <is>
          <t>No</t>
        </is>
      </c>
      <c r="D985" t="inlineStr">
        <is>
          <t>No</t>
        </is>
      </c>
      <c r="E985">
        <f>VLOOKUP(C985,CategoryMap,2,0)</f>
        <v/>
      </c>
      <c r="F985">
        <f>VLOOKUP(D985,CategoryMap,2,0)</f>
        <v/>
      </c>
      <c r="G985">
        <f>ABS(E985-F985)</f>
        <v/>
      </c>
      <c r="H985">
        <f>IF(G985=0,"Yes","No")</f>
        <v/>
      </c>
      <c r="I985" t="inlineStr">
        <is>
          <t>No</t>
        </is>
      </c>
      <c r="J985">
        <f>IF(I985="","",IF(AND(I985=C985,I985=D985),"Both",IF(I985=C985,"Opus",IF(I985=D985,"Sonnet","Neither"))))</f>
        <v/>
      </c>
    </row>
    <row r="986">
      <c r="A986" t="inlineStr">
        <is>
          <t>R280</t>
        </is>
      </c>
      <c r="B986" t="inlineStr">
        <is>
          <t>Q1</t>
        </is>
      </c>
      <c r="C986" t="inlineStr">
        <is>
          <t>No</t>
        </is>
      </c>
      <c r="D986" t="inlineStr">
        <is>
          <t>No</t>
        </is>
      </c>
      <c r="E986">
        <f>VLOOKUP(C986,CategoryMap,2,0)</f>
        <v/>
      </c>
      <c r="F986">
        <f>VLOOKUP(D986,CategoryMap,2,0)</f>
        <v/>
      </c>
      <c r="G986">
        <f>ABS(E986-F986)</f>
        <v/>
      </c>
      <c r="H986">
        <f>IF(G986=0,"Yes","No")</f>
        <v/>
      </c>
      <c r="I986" t="inlineStr">
        <is>
          <t>No</t>
        </is>
      </c>
      <c r="J986">
        <f>IF(I986="","",IF(AND(I986=C986,I986=D986),"Both",IF(I986=C986,"Opus",IF(I986=D986,"Sonnet","Neither"))))</f>
        <v/>
      </c>
    </row>
    <row r="987">
      <c r="A987" t="inlineStr">
        <is>
          <t>R280</t>
        </is>
      </c>
      <c r="B987" t="inlineStr">
        <is>
          <t>Q2</t>
        </is>
      </c>
      <c r="C987" t="inlineStr">
        <is>
          <t>Partial</t>
        </is>
      </c>
      <c r="D987" t="inlineStr">
        <is>
          <t>No</t>
        </is>
      </c>
      <c r="E987">
        <f>VLOOKUP(C987,CategoryMap,2,0)</f>
        <v/>
      </c>
      <c r="F987">
        <f>VLOOKUP(D987,CategoryMap,2,0)</f>
        <v/>
      </c>
      <c r="G987">
        <f>ABS(E987-F987)</f>
        <v/>
      </c>
      <c r="H987">
        <f>IF(G987=0,"Yes","No")</f>
        <v/>
      </c>
      <c r="I987" t="inlineStr">
        <is>
          <t>Partial</t>
        </is>
      </c>
      <c r="J987">
        <f>IF(I987="","",IF(AND(I987=C987,I987=D987),"Both",IF(I987=C987,"Opus",IF(I987=D987,"Sonnet","Neither"))))</f>
        <v/>
      </c>
    </row>
    <row r="988">
      <c r="A988" t="inlineStr">
        <is>
          <t>R280</t>
        </is>
      </c>
      <c r="B988" t="inlineStr">
        <is>
          <t>Q3</t>
        </is>
      </c>
      <c r="C988" t="inlineStr">
        <is>
          <t>Yes</t>
        </is>
      </c>
      <c r="D988" t="inlineStr">
        <is>
          <t>No</t>
        </is>
      </c>
      <c r="E988">
        <f>VLOOKUP(C988,CategoryMap,2,0)</f>
        <v/>
      </c>
      <c r="F988">
        <f>VLOOKUP(D988,CategoryMap,2,0)</f>
        <v/>
      </c>
      <c r="G988">
        <f>ABS(E988-F988)</f>
        <v/>
      </c>
      <c r="H988">
        <f>IF(G988=0,"Yes","No")</f>
        <v/>
      </c>
      <c r="I988" t="inlineStr">
        <is>
          <t>No</t>
        </is>
      </c>
      <c r="J988">
        <f>IF(I988="","",IF(AND(I988=C988,I988=D988),"Both",IF(I988=C988,"Opus",IF(I988=D988,"Sonnet","Neither"))))</f>
        <v/>
      </c>
    </row>
    <row r="989">
      <c r="A989" t="inlineStr">
        <is>
          <t>R280</t>
        </is>
      </c>
      <c r="B989" t="inlineStr">
        <is>
          <t>Q4</t>
        </is>
      </c>
      <c r="C989" t="inlineStr">
        <is>
          <t>Partial</t>
        </is>
      </c>
      <c r="D989" t="inlineStr">
        <is>
          <t>Partial</t>
        </is>
      </c>
      <c r="E989">
        <f>VLOOKUP(C989,CategoryMap,2,0)</f>
        <v/>
      </c>
      <c r="F989">
        <f>VLOOKUP(D989,CategoryMap,2,0)</f>
        <v/>
      </c>
      <c r="G989">
        <f>ABS(E989-F989)</f>
        <v/>
      </c>
      <c r="H989">
        <f>IF(G989=0,"Yes","No")</f>
        <v/>
      </c>
      <c r="I989" t="inlineStr">
        <is>
          <t>Partial</t>
        </is>
      </c>
      <c r="J989">
        <f>IF(I989="","",IF(AND(I989=C989,I989=D989),"Both",IF(I989=C989,"Opus",IF(I989=D989,"Sonnet","Neither"))))</f>
        <v/>
      </c>
    </row>
    <row r="990">
      <c r="A990" t="inlineStr">
        <is>
          <t>R280</t>
        </is>
      </c>
      <c r="B990" t="inlineStr">
        <is>
          <t>Q5</t>
        </is>
      </c>
      <c r="C990" t="inlineStr">
        <is>
          <t>No</t>
        </is>
      </c>
      <c r="D990" t="inlineStr">
        <is>
          <t>No</t>
        </is>
      </c>
      <c r="E990">
        <f>VLOOKUP(C990,CategoryMap,2,0)</f>
        <v/>
      </c>
      <c r="F990">
        <f>VLOOKUP(D990,CategoryMap,2,0)</f>
        <v/>
      </c>
      <c r="G990">
        <f>ABS(E990-F990)</f>
        <v/>
      </c>
      <c r="H990">
        <f>IF(G990=0,"Yes","No")</f>
        <v/>
      </c>
      <c r="I990" t="inlineStr">
        <is>
          <t>No</t>
        </is>
      </c>
      <c r="J990">
        <f>IF(I990="","",IF(AND(I990=C990,I990=D990),"Both",IF(I990=C990,"Opus",IF(I990=D990,"Sonnet","Neither"))))</f>
        <v/>
      </c>
    </row>
    <row r="991">
      <c r="A991" t="inlineStr">
        <is>
          <t>R280</t>
        </is>
      </c>
      <c r="B991" t="inlineStr">
        <is>
          <t>Q6</t>
        </is>
      </c>
      <c r="C991" t="inlineStr">
        <is>
          <t>No</t>
        </is>
      </c>
      <c r="D991" t="inlineStr">
        <is>
          <t>No</t>
        </is>
      </c>
      <c r="E991">
        <f>VLOOKUP(C991,CategoryMap,2,0)</f>
        <v/>
      </c>
      <c r="F991">
        <f>VLOOKUP(D991,CategoryMap,2,0)</f>
        <v/>
      </c>
      <c r="G991">
        <f>ABS(E991-F991)</f>
        <v/>
      </c>
      <c r="H991">
        <f>IF(G991=0,"Yes","No")</f>
        <v/>
      </c>
      <c r="I991" t="inlineStr">
        <is>
          <t>No</t>
        </is>
      </c>
      <c r="J991">
        <f>IF(I991="","",IF(AND(I991=C991,I991=D991),"Both",IF(I991=C991,"Opus",IF(I991=D991,"Sonnet","Neither"))))</f>
        <v/>
      </c>
    </row>
    <row r="992">
      <c r="A992" t="inlineStr">
        <is>
          <t>R280</t>
        </is>
      </c>
      <c r="B992" t="inlineStr">
        <is>
          <t>Q7</t>
        </is>
      </c>
      <c r="C992" t="inlineStr">
        <is>
          <t>No</t>
        </is>
      </c>
      <c r="D992" t="inlineStr">
        <is>
          <t>No</t>
        </is>
      </c>
      <c r="E992">
        <f>VLOOKUP(C992,CategoryMap,2,0)</f>
        <v/>
      </c>
      <c r="F992">
        <f>VLOOKUP(D992,CategoryMap,2,0)</f>
        <v/>
      </c>
      <c r="G992">
        <f>ABS(E992-F992)</f>
        <v/>
      </c>
      <c r="H992">
        <f>IF(G992=0,"Yes","No")</f>
        <v/>
      </c>
      <c r="I992" t="inlineStr">
        <is>
          <t>No</t>
        </is>
      </c>
      <c r="J992">
        <f>IF(I992="","",IF(AND(I992=C992,I992=D992),"Both",IF(I992=C992,"Opus",IF(I992=D992,"Sonnet","Neither"))))</f>
        <v/>
      </c>
    </row>
    <row r="993">
      <c r="A993" t="inlineStr">
        <is>
          <t>R280</t>
        </is>
      </c>
      <c r="B993" t="inlineStr">
        <is>
          <t>Q8</t>
        </is>
      </c>
      <c r="C993" t="inlineStr">
        <is>
          <t>Partial</t>
        </is>
      </c>
      <c r="D993" t="inlineStr">
        <is>
          <t>No</t>
        </is>
      </c>
      <c r="E993">
        <f>VLOOKUP(C993,CategoryMap,2,0)</f>
        <v/>
      </c>
      <c r="F993">
        <f>VLOOKUP(D993,CategoryMap,2,0)</f>
        <v/>
      </c>
      <c r="G993">
        <f>ABS(E993-F993)</f>
        <v/>
      </c>
      <c r="H993">
        <f>IF(G993=0,"Yes","No")</f>
        <v/>
      </c>
      <c r="I993" t="inlineStr">
        <is>
          <t>Partial</t>
        </is>
      </c>
      <c r="J993">
        <f>IF(I993="","",IF(AND(I993=C993,I993=D993),"Both",IF(I993=C993,"Opus",IF(I993=D993,"Sonnet","Neither"))))</f>
        <v/>
      </c>
    </row>
    <row r="994">
      <c r="A994" t="inlineStr">
        <is>
          <t>R281</t>
        </is>
      </c>
      <c r="B994" t="inlineStr">
        <is>
          <t>Q1</t>
        </is>
      </c>
      <c r="C994" t="inlineStr">
        <is>
          <t>No</t>
        </is>
      </c>
      <c r="D994" t="inlineStr">
        <is>
          <t>No</t>
        </is>
      </c>
      <c r="E994">
        <f>VLOOKUP(C994,CategoryMap,2,0)</f>
        <v/>
      </c>
      <c r="F994">
        <f>VLOOKUP(D994,CategoryMap,2,0)</f>
        <v/>
      </c>
      <c r="G994">
        <f>ABS(E994-F994)</f>
        <v/>
      </c>
      <c r="H994">
        <f>IF(G994=0,"Yes","No")</f>
        <v/>
      </c>
      <c r="I994" t="inlineStr">
        <is>
          <t>No</t>
        </is>
      </c>
      <c r="J994">
        <f>IF(I994="","",IF(AND(I994=C994,I994=D994),"Both",IF(I994=C994,"Opus",IF(I994=D994,"Sonnet","Neither"))))</f>
        <v/>
      </c>
    </row>
    <row r="995">
      <c r="A995" t="inlineStr">
        <is>
          <t>R281</t>
        </is>
      </c>
      <c r="B995" t="inlineStr">
        <is>
          <t>Q2</t>
        </is>
      </c>
      <c r="C995" t="inlineStr">
        <is>
          <t>Partial</t>
        </is>
      </c>
      <c r="D995" t="inlineStr">
        <is>
          <t>No</t>
        </is>
      </c>
      <c r="E995">
        <f>VLOOKUP(C995,CategoryMap,2,0)</f>
        <v/>
      </c>
      <c r="F995">
        <f>VLOOKUP(D995,CategoryMap,2,0)</f>
        <v/>
      </c>
      <c r="G995">
        <f>ABS(E995-F995)</f>
        <v/>
      </c>
      <c r="H995">
        <f>IF(G995=0,"Yes","No")</f>
        <v/>
      </c>
      <c r="I995" t="inlineStr">
        <is>
          <t>Partial</t>
        </is>
      </c>
      <c r="J995">
        <f>IF(I995="","",IF(AND(I995=C995,I995=D995),"Both",IF(I995=C995,"Opus",IF(I995=D995,"Sonnet","Neither"))))</f>
        <v/>
      </c>
    </row>
    <row r="996">
      <c r="A996" t="inlineStr">
        <is>
          <t>R281</t>
        </is>
      </c>
      <c r="B996" t="inlineStr">
        <is>
          <t>Q3</t>
        </is>
      </c>
      <c r="C996" t="inlineStr">
        <is>
          <t>Yes</t>
        </is>
      </c>
      <c r="D996" t="inlineStr">
        <is>
          <t>No</t>
        </is>
      </c>
      <c r="E996">
        <f>VLOOKUP(C996,CategoryMap,2,0)</f>
        <v/>
      </c>
      <c r="F996">
        <f>VLOOKUP(D996,CategoryMap,2,0)</f>
        <v/>
      </c>
      <c r="G996">
        <f>ABS(E996-F996)</f>
        <v/>
      </c>
      <c r="H996">
        <f>IF(G996=0,"Yes","No")</f>
        <v/>
      </c>
      <c r="I996" t="inlineStr">
        <is>
          <t>No</t>
        </is>
      </c>
      <c r="J996">
        <f>IF(I996="","",IF(AND(I996=C996,I996=D996),"Both",IF(I996=C996,"Opus",IF(I996=D996,"Sonnet","Neither"))))</f>
        <v/>
      </c>
    </row>
    <row r="997">
      <c r="A997" t="inlineStr">
        <is>
          <t>R281</t>
        </is>
      </c>
      <c r="B997" t="inlineStr">
        <is>
          <t>Q4</t>
        </is>
      </c>
      <c r="C997" t="inlineStr">
        <is>
          <t>Partial</t>
        </is>
      </c>
      <c r="D997" t="inlineStr">
        <is>
          <t>Partial</t>
        </is>
      </c>
      <c r="E997">
        <f>VLOOKUP(C997,CategoryMap,2,0)</f>
        <v/>
      </c>
      <c r="F997">
        <f>VLOOKUP(D997,CategoryMap,2,0)</f>
        <v/>
      </c>
      <c r="G997">
        <f>ABS(E997-F997)</f>
        <v/>
      </c>
      <c r="H997">
        <f>IF(G997=0,"Yes","No")</f>
        <v/>
      </c>
      <c r="I997" t="inlineStr">
        <is>
          <t>Partial</t>
        </is>
      </c>
      <c r="J997">
        <f>IF(I997="","",IF(AND(I997=C997,I997=D997),"Both",IF(I997=C997,"Opus",IF(I997=D997,"Sonnet","Neither"))))</f>
        <v/>
      </c>
    </row>
    <row r="998">
      <c r="A998" t="inlineStr">
        <is>
          <t>R281</t>
        </is>
      </c>
      <c r="B998" t="inlineStr">
        <is>
          <t>Q5</t>
        </is>
      </c>
      <c r="C998" t="inlineStr">
        <is>
          <t>Partial</t>
        </is>
      </c>
      <c r="D998" t="inlineStr">
        <is>
          <t>No</t>
        </is>
      </c>
      <c r="E998">
        <f>VLOOKUP(C998,CategoryMap,2,0)</f>
        <v/>
      </c>
      <c r="F998">
        <f>VLOOKUP(D998,CategoryMap,2,0)</f>
        <v/>
      </c>
      <c r="G998">
        <f>ABS(E998-F998)</f>
        <v/>
      </c>
      <c r="H998">
        <f>IF(G998=0,"Yes","No")</f>
        <v/>
      </c>
      <c r="I998" t="inlineStr">
        <is>
          <t>No</t>
        </is>
      </c>
      <c r="J998">
        <f>IF(I998="","",IF(AND(I998=C998,I998=D998),"Both",IF(I998=C998,"Opus",IF(I998=D998,"Sonnet","Neither"))))</f>
        <v/>
      </c>
    </row>
    <row r="999">
      <c r="A999" t="inlineStr">
        <is>
          <t>R281</t>
        </is>
      </c>
      <c r="B999" t="inlineStr">
        <is>
          <t>Q6</t>
        </is>
      </c>
      <c r="C999" t="inlineStr">
        <is>
          <t>No</t>
        </is>
      </c>
      <c r="D999" t="inlineStr">
        <is>
          <t>No</t>
        </is>
      </c>
      <c r="E999">
        <f>VLOOKUP(C999,CategoryMap,2,0)</f>
        <v/>
      </c>
      <c r="F999">
        <f>VLOOKUP(D999,CategoryMap,2,0)</f>
        <v/>
      </c>
      <c r="G999">
        <f>ABS(E999-F999)</f>
        <v/>
      </c>
      <c r="H999">
        <f>IF(G999=0,"Yes","No")</f>
        <v/>
      </c>
      <c r="I999" t="inlineStr">
        <is>
          <t>No</t>
        </is>
      </c>
      <c r="J999">
        <f>IF(I999="","",IF(AND(I999=C999,I999=D999),"Both",IF(I999=C999,"Opus",IF(I999=D999,"Sonnet","Neither"))))</f>
        <v/>
      </c>
    </row>
    <row r="1000">
      <c r="A1000" t="inlineStr">
        <is>
          <t>R281</t>
        </is>
      </c>
      <c r="B1000" t="inlineStr">
        <is>
          <t>Q7</t>
        </is>
      </c>
      <c r="C1000" t="inlineStr">
        <is>
          <t>Partial</t>
        </is>
      </c>
      <c r="D1000" t="inlineStr">
        <is>
          <t>Partial</t>
        </is>
      </c>
      <c r="E1000">
        <f>VLOOKUP(C1000,CategoryMap,2,0)</f>
        <v/>
      </c>
      <c r="F1000">
        <f>VLOOKUP(D1000,CategoryMap,2,0)</f>
        <v/>
      </c>
      <c r="G1000">
        <f>ABS(E1000-F1000)</f>
        <v/>
      </c>
      <c r="H1000">
        <f>IF(G1000=0,"Yes","No")</f>
        <v/>
      </c>
      <c r="I1000" t="inlineStr">
        <is>
          <t>Partial</t>
        </is>
      </c>
      <c r="J1000">
        <f>IF(I1000="","",IF(AND(I1000=C1000,I1000=D1000),"Both",IF(I1000=C1000,"Opus",IF(I1000=D1000,"Sonnet","Neither"))))</f>
        <v/>
      </c>
    </row>
    <row r="1001">
      <c r="A1001" t="inlineStr">
        <is>
          <t>R281</t>
        </is>
      </c>
      <c r="B1001" t="inlineStr">
        <is>
          <t>Q8</t>
        </is>
      </c>
      <c r="C1001" t="inlineStr">
        <is>
          <t>Partial</t>
        </is>
      </c>
      <c r="D1001" t="inlineStr">
        <is>
          <t>No</t>
        </is>
      </c>
      <c r="E1001">
        <f>VLOOKUP(C1001,CategoryMap,2,0)</f>
        <v/>
      </c>
      <c r="F1001">
        <f>VLOOKUP(D1001,CategoryMap,2,0)</f>
        <v/>
      </c>
      <c r="G1001">
        <f>ABS(E1001-F1001)</f>
        <v/>
      </c>
      <c r="H1001">
        <f>IF(G1001=0,"Yes","No")</f>
        <v/>
      </c>
      <c r="I1001" t="inlineStr">
        <is>
          <t>Partial</t>
        </is>
      </c>
      <c r="J1001">
        <f>IF(I1001="","",IF(AND(I1001=C1001,I1001=D1001),"Both",IF(I1001=C1001,"Opus",IF(I1001=D1001,"Sonnet","Neither"))))</f>
        <v/>
      </c>
    </row>
    <row r="1002">
      <c r="A1002" t="inlineStr">
        <is>
          <t>R282</t>
        </is>
      </c>
      <c r="B1002" t="inlineStr">
        <is>
          <t>Q1</t>
        </is>
      </c>
      <c r="C1002" t="inlineStr">
        <is>
          <t>Partial</t>
        </is>
      </c>
      <c r="D1002" t="inlineStr">
        <is>
          <t>No</t>
        </is>
      </c>
      <c r="E1002">
        <f>VLOOKUP(C1002,CategoryMap,2,0)</f>
        <v/>
      </c>
      <c r="F1002">
        <f>VLOOKUP(D1002,CategoryMap,2,0)</f>
        <v/>
      </c>
      <c r="G1002">
        <f>ABS(E1002-F1002)</f>
        <v/>
      </c>
      <c r="H1002">
        <f>IF(G1002=0,"Yes","No")</f>
        <v/>
      </c>
      <c r="I1002" t="inlineStr">
        <is>
          <t>No</t>
        </is>
      </c>
      <c r="J1002">
        <f>IF(I1002="","",IF(AND(I1002=C1002,I1002=D1002),"Both",IF(I1002=C1002,"Opus",IF(I1002=D1002,"Sonnet","Neither"))))</f>
        <v/>
      </c>
    </row>
    <row r="1003">
      <c r="A1003" t="inlineStr">
        <is>
          <t>R282</t>
        </is>
      </c>
      <c r="B1003" t="inlineStr">
        <is>
          <t>Q2</t>
        </is>
      </c>
      <c r="C1003" t="inlineStr">
        <is>
          <t>Partial</t>
        </is>
      </c>
      <c r="D1003" t="inlineStr">
        <is>
          <t>No</t>
        </is>
      </c>
      <c r="E1003">
        <f>VLOOKUP(C1003,CategoryMap,2,0)</f>
        <v/>
      </c>
      <c r="F1003">
        <f>VLOOKUP(D1003,CategoryMap,2,0)</f>
        <v/>
      </c>
      <c r="G1003">
        <f>ABS(E1003-F1003)</f>
        <v/>
      </c>
      <c r="H1003">
        <f>IF(G1003=0,"Yes","No")</f>
        <v/>
      </c>
      <c r="I1003" t="inlineStr">
        <is>
          <t>No</t>
        </is>
      </c>
      <c r="J1003">
        <f>IF(I1003="","",IF(AND(I1003=C1003,I1003=D1003),"Both",IF(I1003=C1003,"Opus",IF(I1003=D1003,"Sonnet","Neither"))))</f>
        <v/>
      </c>
    </row>
    <row r="1004">
      <c r="A1004" t="inlineStr">
        <is>
          <t>R282</t>
        </is>
      </c>
      <c r="B1004" t="inlineStr">
        <is>
          <t>Q3</t>
        </is>
      </c>
      <c r="C1004" t="inlineStr">
        <is>
          <t>Yes</t>
        </is>
      </c>
      <c r="D1004" t="inlineStr">
        <is>
          <t>Partial</t>
        </is>
      </c>
      <c r="E1004">
        <f>VLOOKUP(C1004,CategoryMap,2,0)</f>
        <v/>
      </c>
      <c r="F1004">
        <f>VLOOKUP(D1004,CategoryMap,2,0)</f>
        <v/>
      </c>
      <c r="G1004">
        <f>ABS(E1004-F1004)</f>
        <v/>
      </c>
      <c r="H1004">
        <f>IF(G1004=0,"Yes","No")</f>
        <v/>
      </c>
      <c r="I1004" t="inlineStr">
        <is>
          <t>Partial</t>
        </is>
      </c>
      <c r="J1004">
        <f>IF(I1004="","",IF(AND(I1004=C1004,I1004=D1004),"Both",IF(I1004=C1004,"Opus",IF(I1004=D1004,"Sonnet","Neither"))))</f>
        <v/>
      </c>
    </row>
    <row r="1005">
      <c r="A1005" t="inlineStr">
        <is>
          <t>R282</t>
        </is>
      </c>
      <c r="B1005" t="inlineStr">
        <is>
          <t>Q4</t>
        </is>
      </c>
      <c r="C1005" t="inlineStr">
        <is>
          <t>No</t>
        </is>
      </c>
      <c r="D1005" t="inlineStr">
        <is>
          <t>Partial</t>
        </is>
      </c>
      <c r="E1005">
        <f>VLOOKUP(C1005,CategoryMap,2,0)</f>
        <v/>
      </c>
      <c r="F1005">
        <f>VLOOKUP(D1005,CategoryMap,2,0)</f>
        <v/>
      </c>
      <c r="G1005">
        <f>ABS(E1005-F1005)</f>
        <v/>
      </c>
      <c r="H1005">
        <f>IF(G1005=0,"Yes","No")</f>
        <v/>
      </c>
      <c r="I1005" t="inlineStr">
        <is>
          <t>No</t>
        </is>
      </c>
      <c r="J1005">
        <f>IF(I1005="","",IF(AND(I1005=C1005,I1005=D1005),"Both",IF(I1005=C1005,"Opus",IF(I1005=D1005,"Sonnet","Neither"))))</f>
        <v/>
      </c>
    </row>
    <row r="1006">
      <c r="A1006" t="inlineStr">
        <is>
          <t>R282</t>
        </is>
      </c>
      <c r="B1006" t="inlineStr">
        <is>
          <t>Q5</t>
        </is>
      </c>
      <c r="C1006" t="inlineStr">
        <is>
          <t>Partial</t>
        </is>
      </c>
      <c r="D1006" t="inlineStr">
        <is>
          <t>Partial</t>
        </is>
      </c>
      <c r="E1006">
        <f>VLOOKUP(C1006,CategoryMap,2,0)</f>
        <v/>
      </c>
      <c r="F1006">
        <f>VLOOKUP(D1006,CategoryMap,2,0)</f>
        <v/>
      </c>
      <c r="G1006">
        <f>ABS(E1006-F1006)</f>
        <v/>
      </c>
      <c r="H1006">
        <f>IF(G1006=0,"Yes","No")</f>
        <v/>
      </c>
      <c r="I1006" t="inlineStr">
        <is>
          <t>Partial</t>
        </is>
      </c>
      <c r="J1006">
        <f>IF(I1006="","",IF(AND(I1006=C1006,I1006=D1006),"Both",IF(I1006=C1006,"Opus",IF(I1006=D1006,"Sonnet","Neither"))))</f>
        <v/>
      </c>
    </row>
    <row r="1007">
      <c r="A1007" t="inlineStr">
        <is>
          <t>R282</t>
        </is>
      </c>
      <c r="B1007" t="inlineStr">
        <is>
          <t>Q6</t>
        </is>
      </c>
      <c r="C1007" t="inlineStr">
        <is>
          <t>Partial</t>
        </is>
      </c>
      <c r="D1007" t="inlineStr">
        <is>
          <t>Partial</t>
        </is>
      </c>
      <c r="E1007">
        <f>VLOOKUP(C1007,CategoryMap,2,0)</f>
        <v/>
      </c>
      <c r="F1007">
        <f>VLOOKUP(D1007,CategoryMap,2,0)</f>
        <v/>
      </c>
      <c r="G1007">
        <f>ABS(E1007-F1007)</f>
        <v/>
      </c>
      <c r="H1007">
        <f>IF(G1007=0,"Yes","No")</f>
        <v/>
      </c>
      <c r="I1007" t="inlineStr">
        <is>
          <t>Partial</t>
        </is>
      </c>
      <c r="J1007">
        <f>IF(I1007="","",IF(AND(I1007=C1007,I1007=D1007),"Both",IF(I1007=C1007,"Opus",IF(I1007=D1007,"Sonnet","Neither"))))</f>
        <v/>
      </c>
    </row>
    <row r="1008">
      <c r="A1008" t="inlineStr">
        <is>
          <t>R282</t>
        </is>
      </c>
      <c r="B1008" t="inlineStr">
        <is>
          <t>Q7</t>
        </is>
      </c>
      <c r="C1008" t="inlineStr">
        <is>
          <t>Partial</t>
        </is>
      </c>
      <c r="D1008" t="inlineStr">
        <is>
          <t>Yes</t>
        </is>
      </c>
      <c r="E1008">
        <f>VLOOKUP(C1008,CategoryMap,2,0)</f>
        <v/>
      </c>
      <c r="F1008">
        <f>VLOOKUP(D1008,CategoryMap,2,0)</f>
        <v/>
      </c>
      <c r="G1008">
        <f>ABS(E1008-F1008)</f>
        <v/>
      </c>
      <c r="H1008">
        <f>IF(G1008=0,"Yes","No")</f>
        <v/>
      </c>
      <c r="I1008" t="inlineStr">
        <is>
          <t>Partial</t>
        </is>
      </c>
      <c r="J1008">
        <f>IF(I1008="","",IF(AND(I1008=C1008,I1008=D1008),"Both",IF(I1008=C1008,"Opus",IF(I1008=D1008,"Sonnet","Neither"))))</f>
        <v/>
      </c>
    </row>
    <row r="1009">
      <c r="A1009" t="inlineStr">
        <is>
          <t>R282</t>
        </is>
      </c>
      <c r="B1009" t="inlineStr">
        <is>
          <t>Q8</t>
        </is>
      </c>
      <c r="C1009" t="inlineStr">
        <is>
          <t>Partial</t>
        </is>
      </c>
      <c r="D1009" t="inlineStr">
        <is>
          <t>No</t>
        </is>
      </c>
      <c r="E1009">
        <f>VLOOKUP(C1009,CategoryMap,2,0)</f>
        <v/>
      </c>
      <c r="F1009">
        <f>VLOOKUP(D1009,CategoryMap,2,0)</f>
        <v/>
      </c>
      <c r="G1009">
        <f>ABS(E1009-F1009)</f>
        <v/>
      </c>
      <c r="H1009">
        <f>IF(G1009=0,"Yes","No")</f>
        <v/>
      </c>
      <c r="I1009" t="inlineStr">
        <is>
          <t>Partial</t>
        </is>
      </c>
      <c r="J1009">
        <f>IF(I1009="","",IF(AND(I1009=C1009,I1009=D1009),"Both",IF(I1009=C1009,"Opus",IF(I1009=D1009,"Sonnet","Neither"))))</f>
        <v/>
      </c>
    </row>
    <row r="1010">
      <c r="A1010" t="inlineStr">
        <is>
          <t>R283</t>
        </is>
      </c>
      <c r="B1010" t="inlineStr">
        <is>
          <t>Q1</t>
        </is>
      </c>
      <c r="C1010" t="inlineStr">
        <is>
          <t>No</t>
        </is>
      </c>
      <c r="D1010" t="inlineStr">
        <is>
          <t>No</t>
        </is>
      </c>
      <c r="E1010">
        <f>VLOOKUP(C1010,CategoryMap,2,0)</f>
        <v/>
      </c>
      <c r="F1010">
        <f>VLOOKUP(D1010,CategoryMap,2,0)</f>
        <v/>
      </c>
      <c r="G1010">
        <f>ABS(E1010-F1010)</f>
        <v/>
      </c>
      <c r="H1010">
        <f>IF(G1010=0,"Yes","No")</f>
        <v/>
      </c>
      <c r="I1010" t="inlineStr">
        <is>
          <t>No</t>
        </is>
      </c>
      <c r="J1010">
        <f>IF(I1010="","",IF(AND(I1010=C1010,I1010=D1010),"Both",IF(I1010=C1010,"Opus",IF(I1010=D1010,"Sonnet","Neither"))))</f>
        <v/>
      </c>
    </row>
    <row r="1011">
      <c r="A1011" t="inlineStr">
        <is>
          <t>R283</t>
        </is>
      </c>
      <c r="B1011" t="inlineStr">
        <is>
          <t>Q2</t>
        </is>
      </c>
      <c r="C1011" t="inlineStr">
        <is>
          <t>No</t>
        </is>
      </c>
      <c r="D1011" t="inlineStr">
        <is>
          <t>No</t>
        </is>
      </c>
      <c r="E1011">
        <f>VLOOKUP(C1011,CategoryMap,2,0)</f>
        <v/>
      </c>
      <c r="F1011">
        <f>VLOOKUP(D1011,CategoryMap,2,0)</f>
        <v/>
      </c>
      <c r="G1011">
        <f>ABS(E1011-F1011)</f>
        <v/>
      </c>
      <c r="H1011">
        <f>IF(G1011=0,"Yes","No")</f>
        <v/>
      </c>
      <c r="I1011" t="inlineStr">
        <is>
          <t>No</t>
        </is>
      </c>
      <c r="J1011">
        <f>IF(I1011="","",IF(AND(I1011=C1011,I1011=D1011),"Both",IF(I1011=C1011,"Opus",IF(I1011=D1011,"Sonnet","Neither"))))</f>
        <v/>
      </c>
    </row>
    <row r="1012">
      <c r="A1012" t="inlineStr">
        <is>
          <t>R283</t>
        </is>
      </c>
      <c r="B1012" t="inlineStr">
        <is>
          <t>Q3</t>
        </is>
      </c>
      <c r="C1012" t="inlineStr">
        <is>
          <t>Partial</t>
        </is>
      </c>
      <c r="D1012" t="inlineStr">
        <is>
          <t>No</t>
        </is>
      </c>
      <c r="E1012">
        <f>VLOOKUP(C1012,CategoryMap,2,0)</f>
        <v/>
      </c>
      <c r="F1012">
        <f>VLOOKUP(D1012,CategoryMap,2,0)</f>
        <v/>
      </c>
      <c r="G1012">
        <f>ABS(E1012-F1012)</f>
        <v/>
      </c>
      <c r="H1012">
        <f>IF(G1012=0,"Yes","No")</f>
        <v/>
      </c>
      <c r="I1012" t="inlineStr">
        <is>
          <t>Partial</t>
        </is>
      </c>
      <c r="J1012">
        <f>IF(I1012="","",IF(AND(I1012=C1012,I1012=D1012),"Both",IF(I1012=C1012,"Opus",IF(I1012=D1012,"Sonnet","Neither"))))</f>
        <v/>
      </c>
    </row>
    <row r="1013">
      <c r="A1013" t="inlineStr">
        <is>
          <t>R283</t>
        </is>
      </c>
      <c r="B1013" t="inlineStr">
        <is>
          <t>Q4</t>
        </is>
      </c>
      <c r="C1013" t="inlineStr">
        <is>
          <t>No</t>
        </is>
      </c>
      <c r="D1013" t="inlineStr">
        <is>
          <t>Partial</t>
        </is>
      </c>
      <c r="E1013">
        <f>VLOOKUP(C1013,CategoryMap,2,0)</f>
        <v/>
      </c>
      <c r="F1013">
        <f>VLOOKUP(D1013,CategoryMap,2,0)</f>
        <v/>
      </c>
      <c r="G1013">
        <f>ABS(E1013-F1013)</f>
        <v/>
      </c>
      <c r="H1013">
        <f>IF(G1013=0,"Yes","No")</f>
        <v/>
      </c>
      <c r="I1013" t="inlineStr">
        <is>
          <t>No</t>
        </is>
      </c>
      <c r="J1013">
        <f>IF(I1013="","",IF(AND(I1013=C1013,I1013=D1013),"Both",IF(I1013=C1013,"Opus",IF(I1013=D1013,"Sonnet","Neither"))))</f>
        <v/>
      </c>
    </row>
    <row r="1014">
      <c r="A1014" t="inlineStr">
        <is>
          <t>R283</t>
        </is>
      </c>
      <c r="B1014" t="inlineStr">
        <is>
          <t>Q5</t>
        </is>
      </c>
      <c r="C1014" t="inlineStr">
        <is>
          <t>Partial</t>
        </is>
      </c>
      <c r="D1014" t="inlineStr">
        <is>
          <t>Yes</t>
        </is>
      </c>
      <c r="E1014">
        <f>VLOOKUP(C1014,CategoryMap,2,0)</f>
        <v/>
      </c>
      <c r="F1014">
        <f>VLOOKUP(D1014,CategoryMap,2,0)</f>
        <v/>
      </c>
      <c r="G1014">
        <f>ABS(E1014-F1014)</f>
        <v/>
      </c>
      <c r="H1014">
        <f>IF(G1014=0,"Yes","No")</f>
        <v/>
      </c>
      <c r="I1014" t="inlineStr">
        <is>
          <t>Partial</t>
        </is>
      </c>
      <c r="J1014">
        <f>IF(I1014="","",IF(AND(I1014=C1014,I1014=D1014),"Both",IF(I1014=C1014,"Opus",IF(I1014=D1014,"Sonnet","Neither"))))</f>
        <v/>
      </c>
    </row>
    <row r="1015">
      <c r="A1015" t="inlineStr">
        <is>
          <t>R283</t>
        </is>
      </c>
      <c r="B1015" t="inlineStr">
        <is>
          <t>Q6</t>
        </is>
      </c>
      <c r="C1015" t="inlineStr">
        <is>
          <t>Partial</t>
        </is>
      </c>
      <c r="D1015" t="inlineStr">
        <is>
          <t>Yes</t>
        </is>
      </c>
      <c r="E1015">
        <f>VLOOKUP(C1015,CategoryMap,2,0)</f>
        <v/>
      </c>
      <c r="F1015">
        <f>VLOOKUP(D1015,CategoryMap,2,0)</f>
        <v/>
      </c>
      <c r="G1015">
        <f>ABS(E1015-F1015)</f>
        <v/>
      </c>
      <c r="H1015">
        <f>IF(G1015=0,"Yes","No")</f>
        <v/>
      </c>
      <c r="I1015" t="inlineStr">
        <is>
          <t>Partial</t>
        </is>
      </c>
      <c r="J1015">
        <f>IF(I1015="","",IF(AND(I1015=C1015,I1015=D1015),"Both",IF(I1015=C1015,"Opus",IF(I1015=D1015,"Sonnet","Neither"))))</f>
        <v/>
      </c>
    </row>
    <row r="1016">
      <c r="A1016" t="inlineStr">
        <is>
          <t>R283</t>
        </is>
      </c>
      <c r="B1016" t="inlineStr">
        <is>
          <t>Q7</t>
        </is>
      </c>
      <c r="C1016" t="inlineStr">
        <is>
          <t>Yes</t>
        </is>
      </c>
      <c r="D1016" t="inlineStr">
        <is>
          <t>Yes</t>
        </is>
      </c>
      <c r="E1016">
        <f>VLOOKUP(C1016,CategoryMap,2,0)</f>
        <v/>
      </c>
      <c r="F1016">
        <f>VLOOKUP(D1016,CategoryMap,2,0)</f>
        <v/>
      </c>
      <c r="G1016">
        <f>ABS(E1016-F1016)</f>
        <v/>
      </c>
      <c r="H1016">
        <f>IF(G1016=0,"Yes","No")</f>
        <v/>
      </c>
      <c r="I1016" t="inlineStr">
        <is>
          <t>Yes</t>
        </is>
      </c>
      <c r="J1016">
        <f>IF(I1016="","",IF(AND(I1016=C1016,I1016=D1016),"Both",IF(I1016=C1016,"Opus",IF(I1016=D1016,"Sonnet","Neither"))))</f>
        <v/>
      </c>
    </row>
    <row r="1017">
      <c r="A1017" t="inlineStr">
        <is>
          <t>R283</t>
        </is>
      </c>
      <c r="B1017" t="inlineStr">
        <is>
          <t>Q8</t>
        </is>
      </c>
      <c r="C1017" t="inlineStr">
        <is>
          <t>No</t>
        </is>
      </c>
      <c r="D1017" t="inlineStr">
        <is>
          <t>No</t>
        </is>
      </c>
      <c r="E1017">
        <f>VLOOKUP(C1017,CategoryMap,2,0)</f>
        <v/>
      </c>
      <c r="F1017">
        <f>VLOOKUP(D1017,CategoryMap,2,0)</f>
        <v/>
      </c>
      <c r="G1017">
        <f>ABS(E1017-F1017)</f>
        <v/>
      </c>
      <c r="H1017">
        <f>IF(G1017=0,"Yes","No")</f>
        <v/>
      </c>
      <c r="I1017" t="inlineStr">
        <is>
          <t>No</t>
        </is>
      </c>
      <c r="J1017">
        <f>IF(I1017="","",IF(AND(I1017=C1017,I1017=D1017),"Both",IF(I1017=C1017,"Opus",IF(I1017=D1017,"Sonnet","Neither"))))</f>
        <v/>
      </c>
    </row>
    <row r="1018">
      <c r="A1018" t="inlineStr">
        <is>
          <t>R284</t>
        </is>
      </c>
      <c r="B1018" t="inlineStr">
        <is>
          <t>Q1</t>
        </is>
      </c>
      <c r="C1018" t="inlineStr">
        <is>
          <t>No</t>
        </is>
      </c>
      <c r="D1018" t="inlineStr">
        <is>
          <t>No</t>
        </is>
      </c>
      <c r="E1018">
        <f>VLOOKUP(C1018,CategoryMap,2,0)</f>
        <v/>
      </c>
      <c r="F1018">
        <f>VLOOKUP(D1018,CategoryMap,2,0)</f>
        <v/>
      </c>
      <c r="G1018">
        <f>ABS(E1018-F1018)</f>
        <v/>
      </c>
      <c r="H1018">
        <f>IF(G1018=0,"Yes","No")</f>
        <v/>
      </c>
      <c r="I1018" t="inlineStr">
        <is>
          <t>No</t>
        </is>
      </c>
      <c r="J1018">
        <f>IF(I1018="","",IF(AND(I1018=C1018,I1018=D1018),"Both",IF(I1018=C1018,"Opus",IF(I1018=D1018,"Sonnet","Neither"))))</f>
        <v/>
      </c>
    </row>
    <row r="1019">
      <c r="A1019" t="inlineStr">
        <is>
          <t>R284</t>
        </is>
      </c>
      <c r="B1019" t="inlineStr">
        <is>
          <t>Q2</t>
        </is>
      </c>
      <c r="C1019" t="inlineStr">
        <is>
          <t>Partial</t>
        </is>
      </c>
      <c r="D1019" t="inlineStr">
        <is>
          <t>No</t>
        </is>
      </c>
      <c r="E1019">
        <f>VLOOKUP(C1019,CategoryMap,2,0)</f>
        <v/>
      </c>
      <c r="F1019">
        <f>VLOOKUP(D1019,CategoryMap,2,0)</f>
        <v/>
      </c>
      <c r="G1019">
        <f>ABS(E1019-F1019)</f>
        <v/>
      </c>
      <c r="H1019">
        <f>IF(G1019=0,"Yes","No")</f>
        <v/>
      </c>
      <c r="I1019" t="inlineStr">
        <is>
          <t>No</t>
        </is>
      </c>
      <c r="J1019">
        <f>IF(I1019="","",IF(AND(I1019=C1019,I1019=D1019),"Both",IF(I1019=C1019,"Opus",IF(I1019=D1019,"Sonnet","Neither"))))</f>
        <v/>
      </c>
    </row>
    <row r="1020">
      <c r="A1020" t="inlineStr">
        <is>
          <t>R284</t>
        </is>
      </c>
      <c r="B1020" t="inlineStr">
        <is>
          <t>Q3</t>
        </is>
      </c>
      <c r="C1020" t="inlineStr">
        <is>
          <t>Partial</t>
        </is>
      </c>
      <c r="D1020" t="inlineStr">
        <is>
          <t>No</t>
        </is>
      </c>
      <c r="E1020">
        <f>VLOOKUP(C1020,CategoryMap,2,0)</f>
        <v/>
      </c>
      <c r="F1020">
        <f>VLOOKUP(D1020,CategoryMap,2,0)</f>
        <v/>
      </c>
      <c r="G1020">
        <f>ABS(E1020-F1020)</f>
        <v/>
      </c>
      <c r="H1020">
        <f>IF(G1020=0,"Yes","No")</f>
        <v/>
      </c>
      <c r="I1020" t="inlineStr">
        <is>
          <t>No</t>
        </is>
      </c>
      <c r="J1020">
        <f>IF(I1020="","",IF(AND(I1020=C1020,I1020=D1020),"Both",IF(I1020=C1020,"Opus",IF(I1020=D1020,"Sonnet","Neither"))))</f>
        <v/>
      </c>
    </row>
    <row r="1021">
      <c r="A1021" t="inlineStr">
        <is>
          <t>R284</t>
        </is>
      </c>
      <c r="B1021" t="inlineStr">
        <is>
          <t>Q4</t>
        </is>
      </c>
      <c r="C1021" t="inlineStr">
        <is>
          <t>Partial</t>
        </is>
      </c>
      <c r="D1021" t="inlineStr">
        <is>
          <t>Partial</t>
        </is>
      </c>
      <c r="E1021">
        <f>VLOOKUP(C1021,CategoryMap,2,0)</f>
        <v/>
      </c>
      <c r="F1021">
        <f>VLOOKUP(D1021,CategoryMap,2,0)</f>
        <v/>
      </c>
      <c r="G1021">
        <f>ABS(E1021-F1021)</f>
        <v/>
      </c>
      <c r="H1021">
        <f>IF(G1021=0,"Yes","No")</f>
        <v/>
      </c>
      <c r="I1021" t="inlineStr">
        <is>
          <t>Partial</t>
        </is>
      </c>
      <c r="J1021">
        <f>IF(I1021="","",IF(AND(I1021=C1021,I1021=D1021),"Both",IF(I1021=C1021,"Opus",IF(I1021=D1021,"Sonnet","Neither"))))</f>
        <v/>
      </c>
    </row>
    <row r="1022">
      <c r="A1022" t="inlineStr">
        <is>
          <t>R284</t>
        </is>
      </c>
      <c r="B1022" t="inlineStr">
        <is>
          <t>Q5</t>
        </is>
      </c>
      <c r="C1022" t="inlineStr">
        <is>
          <t>No</t>
        </is>
      </c>
      <c r="D1022" t="inlineStr">
        <is>
          <t>No</t>
        </is>
      </c>
      <c r="E1022">
        <f>VLOOKUP(C1022,CategoryMap,2,0)</f>
        <v/>
      </c>
      <c r="F1022">
        <f>VLOOKUP(D1022,CategoryMap,2,0)</f>
        <v/>
      </c>
      <c r="G1022">
        <f>ABS(E1022-F1022)</f>
        <v/>
      </c>
      <c r="H1022">
        <f>IF(G1022=0,"Yes","No")</f>
        <v/>
      </c>
      <c r="I1022" t="inlineStr">
        <is>
          <t>No</t>
        </is>
      </c>
      <c r="J1022">
        <f>IF(I1022="","",IF(AND(I1022=C1022,I1022=D1022),"Both",IF(I1022=C1022,"Opus",IF(I1022=D1022,"Sonnet","Neither"))))</f>
        <v/>
      </c>
    </row>
    <row r="1023">
      <c r="A1023" t="inlineStr">
        <is>
          <t>R284</t>
        </is>
      </c>
      <c r="B1023" t="inlineStr">
        <is>
          <t>Q6</t>
        </is>
      </c>
      <c r="C1023" t="inlineStr">
        <is>
          <t>No</t>
        </is>
      </c>
      <c r="D1023" t="inlineStr">
        <is>
          <t>No</t>
        </is>
      </c>
      <c r="E1023">
        <f>VLOOKUP(C1023,CategoryMap,2,0)</f>
        <v/>
      </c>
      <c r="F1023">
        <f>VLOOKUP(D1023,CategoryMap,2,0)</f>
        <v/>
      </c>
      <c r="G1023">
        <f>ABS(E1023-F1023)</f>
        <v/>
      </c>
      <c r="H1023">
        <f>IF(G1023=0,"Yes","No")</f>
        <v/>
      </c>
      <c r="I1023" t="inlineStr">
        <is>
          <t>No</t>
        </is>
      </c>
      <c r="J1023">
        <f>IF(I1023="","",IF(AND(I1023=C1023,I1023=D1023),"Both",IF(I1023=C1023,"Opus",IF(I1023=D1023,"Sonnet","Neither"))))</f>
        <v/>
      </c>
    </row>
    <row r="1024">
      <c r="A1024" t="inlineStr">
        <is>
          <t>R284</t>
        </is>
      </c>
      <c r="B1024" t="inlineStr">
        <is>
          <t>Q7</t>
        </is>
      </c>
      <c r="C1024" t="inlineStr">
        <is>
          <t>Yes</t>
        </is>
      </c>
      <c r="D1024" t="inlineStr">
        <is>
          <t>Yes</t>
        </is>
      </c>
      <c r="E1024">
        <f>VLOOKUP(C1024,CategoryMap,2,0)</f>
        <v/>
      </c>
      <c r="F1024">
        <f>VLOOKUP(D1024,CategoryMap,2,0)</f>
        <v/>
      </c>
      <c r="G1024">
        <f>ABS(E1024-F1024)</f>
        <v/>
      </c>
      <c r="H1024">
        <f>IF(G1024=0,"Yes","No")</f>
        <v/>
      </c>
      <c r="I1024" t="inlineStr">
        <is>
          <t>Yes</t>
        </is>
      </c>
      <c r="J1024">
        <f>IF(I1024="","",IF(AND(I1024=C1024,I1024=D1024),"Both",IF(I1024=C1024,"Opus",IF(I1024=D1024,"Sonnet","Neither"))))</f>
        <v/>
      </c>
    </row>
    <row r="1025">
      <c r="A1025" t="inlineStr">
        <is>
          <t>R284</t>
        </is>
      </c>
      <c r="B1025" t="inlineStr">
        <is>
          <t>Q8</t>
        </is>
      </c>
      <c r="C1025" t="inlineStr">
        <is>
          <t>No</t>
        </is>
      </c>
      <c r="D1025" t="inlineStr">
        <is>
          <t>No</t>
        </is>
      </c>
      <c r="E1025">
        <f>VLOOKUP(C1025,CategoryMap,2,0)</f>
        <v/>
      </c>
      <c r="F1025">
        <f>VLOOKUP(D1025,CategoryMap,2,0)</f>
        <v/>
      </c>
      <c r="G1025">
        <f>ABS(E1025-F1025)</f>
        <v/>
      </c>
      <c r="H1025">
        <f>IF(G1025=0,"Yes","No")</f>
        <v/>
      </c>
      <c r="I1025" t="inlineStr">
        <is>
          <t>No</t>
        </is>
      </c>
      <c r="J1025">
        <f>IF(I1025="","",IF(AND(I1025=C1025,I1025=D1025),"Both",IF(I1025=C1025,"Opus",IF(I1025=D1025,"Sonnet","Neither"))))</f>
        <v/>
      </c>
    </row>
    <row r="1026">
      <c r="A1026" t="inlineStr">
        <is>
          <t>R285</t>
        </is>
      </c>
      <c r="B1026" t="inlineStr">
        <is>
          <t>Q1</t>
        </is>
      </c>
      <c r="C1026" t="inlineStr">
        <is>
          <t>Partial</t>
        </is>
      </c>
      <c r="D1026" t="inlineStr">
        <is>
          <t>Partial</t>
        </is>
      </c>
      <c r="E1026">
        <f>VLOOKUP(C1026,CategoryMap,2,0)</f>
        <v/>
      </c>
      <c r="F1026">
        <f>VLOOKUP(D1026,CategoryMap,2,0)</f>
        <v/>
      </c>
      <c r="G1026">
        <f>ABS(E1026-F1026)</f>
        <v/>
      </c>
      <c r="H1026">
        <f>IF(G1026=0,"Yes","No")</f>
        <v/>
      </c>
      <c r="I1026" t="inlineStr">
        <is>
          <t>Partial</t>
        </is>
      </c>
      <c r="J1026">
        <f>IF(I1026="","",IF(AND(I1026=C1026,I1026=D1026),"Both",IF(I1026=C1026,"Opus",IF(I1026=D1026,"Sonnet","Neither"))))</f>
        <v/>
      </c>
    </row>
    <row r="1027">
      <c r="A1027" t="inlineStr">
        <is>
          <t>R285</t>
        </is>
      </c>
      <c r="B1027" t="inlineStr">
        <is>
          <t>Q2</t>
        </is>
      </c>
      <c r="C1027" t="inlineStr">
        <is>
          <t>Partial</t>
        </is>
      </c>
      <c r="D1027" t="inlineStr">
        <is>
          <t>Partial</t>
        </is>
      </c>
      <c r="E1027">
        <f>VLOOKUP(C1027,CategoryMap,2,0)</f>
        <v/>
      </c>
      <c r="F1027">
        <f>VLOOKUP(D1027,CategoryMap,2,0)</f>
        <v/>
      </c>
      <c r="G1027">
        <f>ABS(E1027-F1027)</f>
        <v/>
      </c>
      <c r="H1027">
        <f>IF(G1027=0,"Yes","No")</f>
        <v/>
      </c>
      <c r="I1027" t="inlineStr">
        <is>
          <t>Partial</t>
        </is>
      </c>
      <c r="J1027">
        <f>IF(I1027="","",IF(AND(I1027=C1027,I1027=D1027),"Both",IF(I1027=C1027,"Opus",IF(I1027=D1027,"Sonnet","Neither"))))</f>
        <v/>
      </c>
    </row>
    <row r="1028">
      <c r="A1028" t="inlineStr">
        <is>
          <t>R285</t>
        </is>
      </c>
      <c r="B1028" t="inlineStr">
        <is>
          <t>Q3</t>
        </is>
      </c>
      <c r="C1028" t="inlineStr">
        <is>
          <t>Yes</t>
        </is>
      </c>
      <c r="D1028" t="inlineStr">
        <is>
          <t>Partial</t>
        </is>
      </c>
      <c r="E1028">
        <f>VLOOKUP(C1028,CategoryMap,2,0)</f>
        <v/>
      </c>
      <c r="F1028">
        <f>VLOOKUP(D1028,CategoryMap,2,0)</f>
        <v/>
      </c>
      <c r="G1028">
        <f>ABS(E1028-F1028)</f>
        <v/>
      </c>
      <c r="H1028">
        <f>IF(G1028=0,"Yes","No")</f>
        <v/>
      </c>
      <c r="I1028" t="inlineStr">
        <is>
          <t>Partial</t>
        </is>
      </c>
      <c r="J1028">
        <f>IF(I1028="","",IF(AND(I1028=C1028,I1028=D1028),"Both",IF(I1028=C1028,"Opus",IF(I1028=D1028,"Sonnet","Neither"))))</f>
        <v/>
      </c>
    </row>
    <row r="1029">
      <c r="A1029" t="inlineStr">
        <is>
          <t>R285</t>
        </is>
      </c>
      <c r="B1029" t="inlineStr">
        <is>
          <t>Q4</t>
        </is>
      </c>
      <c r="C1029" t="inlineStr">
        <is>
          <t>No</t>
        </is>
      </c>
      <c r="D1029" t="inlineStr">
        <is>
          <t>Partial</t>
        </is>
      </c>
      <c r="E1029">
        <f>VLOOKUP(C1029,CategoryMap,2,0)</f>
        <v/>
      </c>
      <c r="F1029">
        <f>VLOOKUP(D1029,CategoryMap,2,0)</f>
        <v/>
      </c>
      <c r="G1029">
        <f>ABS(E1029-F1029)</f>
        <v/>
      </c>
      <c r="H1029">
        <f>IF(G1029=0,"Yes","No")</f>
        <v/>
      </c>
      <c r="I1029" t="inlineStr">
        <is>
          <t>No</t>
        </is>
      </c>
      <c r="J1029">
        <f>IF(I1029="","",IF(AND(I1029=C1029,I1029=D1029),"Both",IF(I1029=C1029,"Opus",IF(I1029=D1029,"Sonnet","Neither"))))</f>
        <v/>
      </c>
    </row>
    <row r="1030">
      <c r="A1030" t="inlineStr">
        <is>
          <t>R285</t>
        </is>
      </c>
      <c r="B1030" t="inlineStr">
        <is>
          <t>Q5</t>
        </is>
      </c>
      <c r="C1030" t="inlineStr">
        <is>
          <t>No</t>
        </is>
      </c>
      <c r="D1030" t="inlineStr">
        <is>
          <t>No</t>
        </is>
      </c>
      <c r="E1030">
        <f>VLOOKUP(C1030,CategoryMap,2,0)</f>
        <v/>
      </c>
      <c r="F1030">
        <f>VLOOKUP(D1030,CategoryMap,2,0)</f>
        <v/>
      </c>
      <c r="G1030">
        <f>ABS(E1030-F1030)</f>
        <v/>
      </c>
      <c r="H1030">
        <f>IF(G1030=0,"Yes","No")</f>
        <v/>
      </c>
      <c r="I1030" t="inlineStr">
        <is>
          <t>No</t>
        </is>
      </c>
      <c r="J1030">
        <f>IF(I1030="","",IF(AND(I1030=C1030,I1030=D1030),"Both",IF(I1030=C1030,"Opus",IF(I1030=D1030,"Sonnet","Neither"))))</f>
        <v/>
      </c>
    </row>
    <row r="1031">
      <c r="A1031" t="inlineStr">
        <is>
          <t>R285</t>
        </is>
      </c>
      <c r="B1031" t="inlineStr">
        <is>
          <t>Q6</t>
        </is>
      </c>
      <c r="C1031" t="inlineStr">
        <is>
          <t>No</t>
        </is>
      </c>
      <c r="D1031" t="inlineStr">
        <is>
          <t>No</t>
        </is>
      </c>
      <c r="E1031">
        <f>VLOOKUP(C1031,CategoryMap,2,0)</f>
        <v/>
      </c>
      <c r="F1031">
        <f>VLOOKUP(D1031,CategoryMap,2,0)</f>
        <v/>
      </c>
      <c r="G1031">
        <f>ABS(E1031-F1031)</f>
        <v/>
      </c>
      <c r="H1031">
        <f>IF(G1031=0,"Yes","No")</f>
        <v/>
      </c>
      <c r="I1031" t="inlineStr">
        <is>
          <t>No</t>
        </is>
      </c>
      <c r="J1031">
        <f>IF(I1031="","",IF(AND(I1031=C1031,I1031=D1031),"Both",IF(I1031=C1031,"Opus",IF(I1031=D1031,"Sonnet","Neither"))))</f>
        <v/>
      </c>
    </row>
    <row r="1032">
      <c r="A1032" t="inlineStr">
        <is>
          <t>R285</t>
        </is>
      </c>
      <c r="B1032" t="inlineStr">
        <is>
          <t>Q7</t>
        </is>
      </c>
      <c r="C1032" t="inlineStr">
        <is>
          <t>No</t>
        </is>
      </c>
      <c r="D1032" t="inlineStr">
        <is>
          <t>No</t>
        </is>
      </c>
      <c r="E1032">
        <f>VLOOKUP(C1032,CategoryMap,2,0)</f>
        <v/>
      </c>
      <c r="F1032">
        <f>VLOOKUP(D1032,CategoryMap,2,0)</f>
        <v/>
      </c>
      <c r="G1032">
        <f>ABS(E1032-F1032)</f>
        <v/>
      </c>
      <c r="H1032">
        <f>IF(G1032=0,"Yes","No")</f>
        <v/>
      </c>
      <c r="I1032" t="inlineStr">
        <is>
          <t>No</t>
        </is>
      </c>
      <c r="J1032">
        <f>IF(I1032="","",IF(AND(I1032=C1032,I1032=D1032),"Both",IF(I1032=C1032,"Opus",IF(I1032=D1032,"Sonnet","Neither"))))</f>
        <v/>
      </c>
    </row>
    <row r="1033">
      <c r="A1033" t="inlineStr">
        <is>
          <t>R285</t>
        </is>
      </c>
      <c r="B1033" t="inlineStr">
        <is>
          <t>Q8</t>
        </is>
      </c>
      <c r="C1033" t="inlineStr">
        <is>
          <t>Partial</t>
        </is>
      </c>
      <c r="D1033" t="inlineStr">
        <is>
          <t>No</t>
        </is>
      </c>
      <c r="E1033">
        <f>VLOOKUP(C1033,CategoryMap,2,0)</f>
        <v/>
      </c>
      <c r="F1033">
        <f>VLOOKUP(D1033,CategoryMap,2,0)</f>
        <v/>
      </c>
      <c r="G1033">
        <f>ABS(E1033-F1033)</f>
        <v/>
      </c>
      <c r="H1033">
        <f>IF(G1033=0,"Yes","No")</f>
        <v/>
      </c>
      <c r="I1033" t="inlineStr">
        <is>
          <t>No</t>
        </is>
      </c>
      <c r="J1033">
        <f>IF(I1033="","",IF(AND(I1033=C1033,I1033=D1033),"Both",IF(I1033=C1033,"Opus",IF(I1033=D1033,"Sonnet","Neither"))))</f>
        <v/>
      </c>
    </row>
    <row r="1034">
      <c r="A1034" t="inlineStr">
        <is>
          <t>R287</t>
        </is>
      </c>
      <c r="B1034" t="inlineStr">
        <is>
          <t>Q1</t>
        </is>
      </c>
      <c r="C1034" t="inlineStr">
        <is>
          <t>No</t>
        </is>
      </c>
      <c r="D1034" t="inlineStr">
        <is>
          <t>No</t>
        </is>
      </c>
      <c r="E1034">
        <f>VLOOKUP(C1034,CategoryMap,2,0)</f>
        <v/>
      </c>
      <c r="F1034">
        <f>VLOOKUP(D1034,CategoryMap,2,0)</f>
        <v/>
      </c>
      <c r="G1034">
        <f>ABS(E1034-F1034)</f>
        <v/>
      </c>
      <c r="H1034">
        <f>IF(G1034=0,"Yes","No")</f>
        <v/>
      </c>
      <c r="I1034" t="inlineStr">
        <is>
          <t>No</t>
        </is>
      </c>
      <c r="J1034">
        <f>IF(I1034="","",IF(AND(I1034=C1034,I1034=D1034),"Both",IF(I1034=C1034,"Opus",IF(I1034=D1034,"Sonnet","Neither"))))</f>
        <v/>
      </c>
    </row>
    <row r="1035">
      <c r="A1035" t="inlineStr">
        <is>
          <t>R287</t>
        </is>
      </c>
      <c r="B1035" t="inlineStr">
        <is>
          <t>Q2</t>
        </is>
      </c>
      <c r="C1035" t="inlineStr">
        <is>
          <t>Partial</t>
        </is>
      </c>
      <c r="D1035" t="inlineStr">
        <is>
          <t>No</t>
        </is>
      </c>
      <c r="E1035">
        <f>VLOOKUP(C1035,CategoryMap,2,0)</f>
        <v/>
      </c>
      <c r="F1035">
        <f>VLOOKUP(D1035,CategoryMap,2,0)</f>
        <v/>
      </c>
      <c r="G1035">
        <f>ABS(E1035-F1035)</f>
        <v/>
      </c>
      <c r="H1035">
        <f>IF(G1035=0,"Yes","No")</f>
        <v/>
      </c>
      <c r="I1035" t="inlineStr">
        <is>
          <t>Partial</t>
        </is>
      </c>
      <c r="J1035">
        <f>IF(I1035="","",IF(AND(I1035=C1035,I1035=D1035),"Both",IF(I1035=C1035,"Opus",IF(I1035=D1035,"Sonnet","Neither"))))</f>
        <v/>
      </c>
    </row>
    <row r="1036">
      <c r="A1036" t="inlineStr">
        <is>
          <t>R287</t>
        </is>
      </c>
      <c r="B1036" t="inlineStr">
        <is>
          <t>Q3</t>
        </is>
      </c>
      <c r="C1036" t="inlineStr">
        <is>
          <t>Partial</t>
        </is>
      </c>
      <c r="D1036" t="inlineStr">
        <is>
          <t>No</t>
        </is>
      </c>
      <c r="E1036">
        <f>VLOOKUP(C1036,CategoryMap,2,0)</f>
        <v/>
      </c>
      <c r="F1036">
        <f>VLOOKUP(D1036,CategoryMap,2,0)</f>
        <v/>
      </c>
      <c r="G1036">
        <f>ABS(E1036-F1036)</f>
        <v/>
      </c>
      <c r="H1036">
        <f>IF(G1036=0,"Yes","No")</f>
        <v/>
      </c>
      <c r="I1036" t="inlineStr">
        <is>
          <t>No</t>
        </is>
      </c>
      <c r="J1036">
        <f>IF(I1036="","",IF(AND(I1036=C1036,I1036=D1036),"Both",IF(I1036=C1036,"Opus",IF(I1036=D1036,"Sonnet","Neither"))))</f>
        <v/>
      </c>
    </row>
    <row r="1037">
      <c r="A1037" t="inlineStr">
        <is>
          <t>R287</t>
        </is>
      </c>
      <c r="B1037" t="inlineStr">
        <is>
          <t>Q4</t>
        </is>
      </c>
      <c r="C1037" t="inlineStr">
        <is>
          <t>Partial</t>
        </is>
      </c>
      <c r="D1037" t="inlineStr">
        <is>
          <t>Yes</t>
        </is>
      </c>
      <c r="E1037">
        <f>VLOOKUP(C1037,CategoryMap,2,0)</f>
        <v/>
      </c>
      <c r="F1037">
        <f>VLOOKUP(D1037,CategoryMap,2,0)</f>
        <v/>
      </c>
      <c r="G1037">
        <f>ABS(E1037-F1037)</f>
        <v/>
      </c>
      <c r="H1037">
        <f>IF(G1037=0,"Yes","No")</f>
        <v/>
      </c>
      <c r="I1037" t="inlineStr">
        <is>
          <t>Yes</t>
        </is>
      </c>
      <c r="J1037">
        <f>IF(I1037="","",IF(AND(I1037=C1037,I1037=D1037),"Both",IF(I1037=C1037,"Opus",IF(I1037=D1037,"Sonnet","Neither"))))</f>
        <v/>
      </c>
    </row>
    <row r="1038">
      <c r="A1038" t="inlineStr">
        <is>
          <t>R287</t>
        </is>
      </c>
      <c r="B1038" t="inlineStr">
        <is>
          <t>Q5</t>
        </is>
      </c>
      <c r="C1038" t="inlineStr">
        <is>
          <t>Yes</t>
        </is>
      </c>
      <c r="D1038" t="inlineStr">
        <is>
          <t>Yes</t>
        </is>
      </c>
      <c r="E1038">
        <f>VLOOKUP(C1038,CategoryMap,2,0)</f>
        <v/>
      </c>
      <c r="F1038">
        <f>VLOOKUP(D1038,CategoryMap,2,0)</f>
        <v/>
      </c>
      <c r="G1038">
        <f>ABS(E1038-F1038)</f>
        <v/>
      </c>
      <c r="H1038">
        <f>IF(G1038=0,"Yes","No")</f>
        <v/>
      </c>
      <c r="I1038" t="inlineStr">
        <is>
          <t>Yes</t>
        </is>
      </c>
      <c r="J1038">
        <f>IF(I1038="","",IF(AND(I1038=C1038,I1038=D1038),"Both",IF(I1038=C1038,"Opus",IF(I1038=D1038,"Sonnet","Neither"))))</f>
        <v/>
      </c>
    </row>
    <row r="1039">
      <c r="A1039" t="inlineStr">
        <is>
          <t>R287</t>
        </is>
      </c>
      <c r="B1039" t="inlineStr">
        <is>
          <t>Q6</t>
        </is>
      </c>
      <c r="C1039" t="inlineStr">
        <is>
          <t>Yes</t>
        </is>
      </c>
      <c r="D1039" t="inlineStr">
        <is>
          <t>Yes</t>
        </is>
      </c>
      <c r="E1039">
        <f>VLOOKUP(C1039,CategoryMap,2,0)</f>
        <v/>
      </c>
      <c r="F1039">
        <f>VLOOKUP(D1039,CategoryMap,2,0)</f>
        <v/>
      </c>
      <c r="G1039">
        <f>ABS(E1039-F1039)</f>
        <v/>
      </c>
      <c r="H1039">
        <f>IF(G1039=0,"Yes","No")</f>
        <v/>
      </c>
      <c r="I1039" t="inlineStr">
        <is>
          <t>Yes</t>
        </is>
      </c>
      <c r="J1039">
        <f>IF(I1039="","",IF(AND(I1039=C1039,I1039=D1039),"Both",IF(I1039=C1039,"Opus",IF(I1039=D1039,"Sonnet","Neither"))))</f>
        <v/>
      </c>
    </row>
    <row r="1040">
      <c r="A1040" t="inlineStr">
        <is>
          <t>R287</t>
        </is>
      </c>
      <c r="B1040" t="inlineStr">
        <is>
          <t>Q7</t>
        </is>
      </c>
      <c r="C1040" t="inlineStr">
        <is>
          <t>Yes</t>
        </is>
      </c>
      <c r="D1040" t="inlineStr">
        <is>
          <t>Yes</t>
        </is>
      </c>
      <c r="E1040">
        <f>VLOOKUP(C1040,CategoryMap,2,0)</f>
        <v/>
      </c>
      <c r="F1040">
        <f>VLOOKUP(D1040,CategoryMap,2,0)</f>
        <v/>
      </c>
      <c r="G1040">
        <f>ABS(E1040-F1040)</f>
        <v/>
      </c>
      <c r="H1040">
        <f>IF(G1040=0,"Yes","No")</f>
        <v/>
      </c>
      <c r="I1040" t="inlineStr">
        <is>
          <t>Yes</t>
        </is>
      </c>
      <c r="J1040">
        <f>IF(I1040="","",IF(AND(I1040=C1040,I1040=D1040),"Both",IF(I1040=C1040,"Opus",IF(I1040=D1040,"Sonnet","Neither"))))</f>
        <v/>
      </c>
    </row>
    <row r="1041">
      <c r="A1041" t="inlineStr">
        <is>
          <t>R287</t>
        </is>
      </c>
      <c r="B1041" t="inlineStr">
        <is>
          <t>Q8</t>
        </is>
      </c>
      <c r="C1041" t="inlineStr">
        <is>
          <t>No</t>
        </is>
      </c>
      <c r="D1041" t="inlineStr">
        <is>
          <t>No</t>
        </is>
      </c>
      <c r="E1041">
        <f>VLOOKUP(C1041,CategoryMap,2,0)</f>
        <v/>
      </c>
      <c r="F1041">
        <f>VLOOKUP(D1041,CategoryMap,2,0)</f>
        <v/>
      </c>
      <c r="G1041">
        <f>ABS(E1041-F1041)</f>
        <v/>
      </c>
      <c r="H1041">
        <f>IF(G1041=0,"Yes","No")</f>
        <v/>
      </c>
      <c r="I1041" t="inlineStr">
        <is>
          <t>No</t>
        </is>
      </c>
      <c r="J1041">
        <f>IF(I1041="","",IF(AND(I1041=C1041,I1041=D1041),"Both",IF(I1041=C1041,"Opus",IF(I1041=D1041,"Sonnet","Neither"))))</f>
        <v/>
      </c>
    </row>
    <row r="1042">
      <c r="A1042" t="inlineStr">
        <is>
          <t>R296</t>
        </is>
      </c>
      <c r="B1042" t="inlineStr">
        <is>
          <t>Q1</t>
        </is>
      </c>
      <c r="C1042" t="inlineStr">
        <is>
          <t>Yes</t>
        </is>
      </c>
      <c r="D1042" t="inlineStr">
        <is>
          <t>Yes</t>
        </is>
      </c>
      <c r="E1042">
        <f>VLOOKUP(C1042,CategoryMap,2,0)</f>
        <v/>
      </c>
      <c r="F1042">
        <f>VLOOKUP(D1042,CategoryMap,2,0)</f>
        <v/>
      </c>
      <c r="G1042">
        <f>ABS(E1042-F1042)</f>
        <v/>
      </c>
      <c r="H1042">
        <f>IF(G1042=0,"Yes","No")</f>
        <v/>
      </c>
      <c r="I1042" t="inlineStr">
        <is>
          <t>Yes</t>
        </is>
      </c>
      <c r="J1042">
        <f>IF(I1042="","",IF(AND(I1042=C1042,I1042=D1042),"Both",IF(I1042=C1042,"Opus",IF(I1042=D1042,"Sonnet","Neither"))))</f>
        <v/>
      </c>
    </row>
    <row r="1043">
      <c r="A1043" t="inlineStr">
        <is>
          <t>R296</t>
        </is>
      </c>
      <c r="B1043" t="inlineStr">
        <is>
          <t>Q2</t>
        </is>
      </c>
      <c r="C1043" t="inlineStr">
        <is>
          <t>Yes</t>
        </is>
      </c>
      <c r="D1043" t="inlineStr">
        <is>
          <t>Yes</t>
        </is>
      </c>
      <c r="E1043">
        <f>VLOOKUP(C1043,CategoryMap,2,0)</f>
        <v/>
      </c>
      <c r="F1043">
        <f>VLOOKUP(D1043,CategoryMap,2,0)</f>
        <v/>
      </c>
      <c r="G1043">
        <f>ABS(E1043-F1043)</f>
        <v/>
      </c>
      <c r="H1043">
        <f>IF(G1043=0,"Yes","No")</f>
        <v/>
      </c>
      <c r="I1043" t="inlineStr">
        <is>
          <t>Yes</t>
        </is>
      </c>
      <c r="J1043">
        <f>IF(I1043="","",IF(AND(I1043=C1043,I1043=D1043),"Both",IF(I1043=C1043,"Opus",IF(I1043=D1043,"Sonnet","Neither"))))</f>
        <v/>
      </c>
    </row>
    <row r="1044">
      <c r="A1044" t="inlineStr">
        <is>
          <t>R296</t>
        </is>
      </c>
      <c r="B1044" t="inlineStr">
        <is>
          <t>Q3</t>
        </is>
      </c>
      <c r="C1044" t="inlineStr">
        <is>
          <t>Yes</t>
        </is>
      </c>
      <c r="D1044" t="inlineStr">
        <is>
          <t>Partial</t>
        </is>
      </c>
      <c r="E1044">
        <f>VLOOKUP(C1044,CategoryMap,2,0)</f>
        <v/>
      </c>
      <c r="F1044">
        <f>VLOOKUP(D1044,CategoryMap,2,0)</f>
        <v/>
      </c>
      <c r="G1044">
        <f>ABS(E1044-F1044)</f>
        <v/>
      </c>
      <c r="H1044">
        <f>IF(G1044=0,"Yes","No")</f>
        <v/>
      </c>
      <c r="I1044" t="inlineStr">
        <is>
          <t>Partial</t>
        </is>
      </c>
      <c r="J1044">
        <f>IF(I1044="","",IF(AND(I1044=C1044,I1044=D1044),"Both",IF(I1044=C1044,"Opus",IF(I1044=D1044,"Sonnet","Neither"))))</f>
        <v/>
      </c>
    </row>
    <row r="1045">
      <c r="A1045" t="inlineStr">
        <is>
          <t>R296</t>
        </is>
      </c>
      <c r="B1045" t="inlineStr">
        <is>
          <t>Q4</t>
        </is>
      </c>
      <c r="C1045" t="inlineStr">
        <is>
          <t>Partial</t>
        </is>
      </c>
      <c r="D1045" t="inlineStr">
        <is>
          <t>Partial</t>
        </is>
      </c>
      <c r="E1045">
        <f>VLOOKUP(C1045,CategoryMap,2,0)</f>
        <v/>
      </c>
      <c r="F1045">
        <f>VLOOKUP(D1045,CategoryMap,2,0)</f>
        <v/>
      </c>
      <c r="G1045">
        <f>ABS(E1045-F1045)</f>
        <v/>
      </c>
      <c r="H1045">
        <f>IF(G1045=0,"Yes","No")</f>
        <v/>
      </c>
      <c r="I1045" t="inlineStr">
        <is>
          <t>Partial</t>
        </is>
      </c>
      <c r="J1045">
        <f>IF(I1045="","",IF(AND(I1045=C1045,I1045=D1045),"Both",IF(I1045=C1045,"Opus",IF(I1045=D1045,"Sonnet","Neither"))))</f>
        <v/>
      </c>
    </row>
    <row r="1046">
      <c r="A1046" t="inlineStr">
        <is>
          <t>R296</t>
        </is>
      </c>
      <c r="B1046" t="inlineStr">
        <is>
          <t>Q5</t>
        </is>
      </c>
      <c r="C1046" t="inlineStr">
        <is>
          <t>Yes</t>
        </is>
      </c>
      <c r="D1046" t="inlineStr">
        <is>
          <t>Yes</t>
        </is>
      </c>
      <c r="E1046">
        <f>VLOOKUP(C1046,CategoryMap,2,0)</f>
        <v/>
      </c>
      <c r="F1046">
        <f>VLOOKUP(D1046,CategoryMap,2,0)</f>
        <v/>
      </c>
      <c r="G1046">
        <f>ABS(E1046-F1046)</f>
        <v/>
      </c>
      <c r="H1046">
        <f>IF(G1046=0,"Yes","No")</f>
        <v/>
      </c>
      <c r="I1046" t="inlineStr">
        <is>
          <t>Yes</t>
        </is>
      </c>
      <c r="J1046">
        <f>IF(I1046="","",IF(AND(I1046=C1046,I1046=D1046),"Both",IF(I1046=C1046,"Opus",IF(I1046=D1046,"Sonnet","Neither"))))</f>
        <v/>
      </c>
    </row>
    <row r="1047">
      <c r="A1047" t="inlineStr">
        <is>
          <t>R296</t>
        </is>
      </c>
      <c r="B1047" t="inlineStr">
        <is>
          <t>Q6</t>
        </is>
      </c>
      <c r="C1047" t="inlineStr">
        <is>
          <t>Yes</t>
        </is>
      </c>
      <c r="D1047" t="inlineStr">
        <is>
          <t>Yes</t>
        </is>
      </c>
      <c r="E1047">
        <f>VLOOKUP(C1047,CategoryMap,2,0)</f>
        <v/>
      </c>
      <c r="F1047">
        <f>VLOOKUP(D1047,CategoryMap,2,0)</f>
        <v/>
      </c>
      <c r="G1047">
        <f>ABS(E1047-F1047)</f>
        <v/>
      </c>
      <c r="H1047">
        <f>IF(G1047=0,"Yes","No")</f>
        <v/>
      </c>
      <c r="I1047" t="inlineStr">
        <is>
          <t>Yes</t>
        </is>
      </c>
      <c r="J1047">
        <f>IF(I1047="","",IF(AND(I1047=C1047,I1047=D1047),"Both",IF(I1047=C1047,"Opus",IF(I1047=D1047,"Sonnet","Neither"))))</f>
        <v/>
      </c>
    </row>
    <row r="1048">
      <c r="A1048" t="inlineStr">
        <is>
          <t>R296</t>
        </is>
      </c>
      <c r="B1048" t="inlineStr">
        <is>
          <t>Q7</t>
        </is>
      </c>
      <c r="C1048" t="inlineStr">
        <is>
          <t>Yes</t>
        </is>
      </c>
      <c r="D1048" t="inlineStr">
        <is>
          <t>Yes</t>
        </is>
      </c>
      <c r="E1048">
        <f>VLOOKUP(C1048,CategoryMap,2,0)</f>
        <v/>
      </c>
      <c r="F1048">
        <f>VLOOKUP(D1048,CategoryMap,2,0)</f>
        <v/>
      </c>
      <c r="G1048">
        <f>ABS(E1048-F1048)</f>
        <v/>
      </c>
      <c r="H1048">
        <f>IF(G1048=0,"Yes","No")</f>
        <v/>
      </c>
      <c r="I1048" t="inlineStr">
        <is>
          <t>Yes</t>
        </is>
      </c>
      <c r="J1048">
        <f>IF(I1048="","",IF(AND(I1048=C1048,I1048=D1048),"Both",IF(I1048=C1048,"Opus",IF(I1048=D1048,"Sonnet","Neither"))))</f>
        <v/>
      </c>
    </row>
    <row r="1049">
      <c r="A1049" t="inlineStr">
        <is>
          <t>R296</t>
        </is>
      </c>
      <c r="B1049" t="inlineStr">
        <is>
          <t>Q8</t>
        </is>
      </c>
      <c r="C1049" t="inlineStr">
        <is>
          <t>Partial</t>
        </is>
      </c>
      <c r="D1049" t="inlineStr">
        <is>
          <t>Partial</t>
        </is>
      </c>
      <c r="E1049">
        <f>VLOOKUP(C1049,CategoryMap,2,0)</f>
        <v/>
      </c>
      <c r="F1049">
        <f>VLOOKUP(D1049,CategoryMap,2,0)</f>
        <v/>
      </c>
      <c r="G1049">
        <f>ABS(E1049-F1049)</f>
        <v/>
      </c>
      <c r="H1049">
        <f>IF(G1049=0,"Yes","No")</f>
        <v/>
      </c>
      <c r="I1049" t="inlineStr">
        <is>
          <t>No</t>
        </is>
      </c>
      <c r="J1049">
        <f>IF(I1049="","",IF(AND(I1049=C1049,I1049=D1049),"Both",IF(I1049=C1049,"Opus",IF(I1049=D1049,"Sonnet","Neither"))))</f>
        <v/>
      </c>
    </row>
    <row r="1050">
      <c r="A1050" t="inlineStr">
        <is>
          <t>R302</t>
        </is>
      </c>
      <c r="B1050" t="inlineStr">
        <is>
          <t>Q1</t>
        </is>
      </c>
      <c r="C1050" t="inlineStr">
        <is>
          <t>Partial</t>
        </is>
      </c>
      <c r="D1050" t="inlineStr">
        <is>
          <t>No</t>
        </is>
      </c>
      <c r="E1050">
        <f>VLOOKUP(C1050,CategoryMap,2,0)</f>
        <v/>
      </c>
      <c r="F1050">
        <f>VLOOKUP(D1050,CategoryMap,2,0)</f>
        <v/>
      </c>
      <c r="G1050">
        <f>ABS(E1050-F1050)</f>
        <v/>
      </c>
      <c r="H1050">
        <f>IF(G1050=0,"Yes","No")</f>
        <v/>
      </c>
      <c r="I1050" t="inlineStr">
        <is>
          <t>No</t>
        </is>
      </c>
      <c r="J1050">
        <f>IF(I1050="","",IF(AND(I1050=C1050,I1050=D1050),"Both",IF(I1050=C1050,"Opus",IF(I1050=D1050,"Sonnet","Neither"))))</f>
        <v/>
      </c>
    </row>
    <row r="1051">
      <c r="A1051" t="inlineStr">
        <is>
          <t>R302</t>
        </is>
      </c>
      <c r="B1051" t="inlineStr">
        <is>
          <t>Q2</t>
        </is>
      </c>
      <c r="C1051" t="inlineStr">
        <is>
          <t>Yes</t>
        </is>
      </c>
      <c r="D1051" t="inlineStr">
        <is>
          <t>Partial</t>
        </is>
      </c>
      <c r="E1051">
        <f>VLOOKUP(C1051,CategoryMap,2,0)</f>
        <v/>
      </c>
      <c r="F1051">
        <f>VLOOKUP(D1051,CategoryMap,2,0)</f>
        <v/>
      </c>
      <c r="G1051">
        <f>ABS(E1051-F1051)</f>
        <v/>
      </c>
      <c r="H1051">
        <f>IF(G1051=0,"Yes","No")</f>
        <v/>
      </c>
      <c r="I1051" t="inlineStr">
        <is>
          <t>Partial</t>
        </is>
      </c>
      <c r="J1051">
        <f>IF(I1051="","",IF(AND(I1051=C1051,I1051=D1051),"Both",IF(I1051=C1051,"Opus",IF(I1051=D1051,"Sonnet","Neither"))))</f>
        <v/>
      </c>
    </row>
    <row r="1052">
      <c r="A1052" t="inlineStr">
        <is>
          <t>R302</t>
        </is>
      </c>
      <c r="B1052" t="inlineStr">
        <is>
          <t>Q3</t>
        </is>
      </c>
      <c r="C1052" t="inlineStr">
        <is>
          <t>Yes</t>
        </is>
      </c>
      <c r="D1052" t="inlineStr">
        <is>
          <t>Partial</t>
        </is>
      </c>
      <c r="E1052">
        <f>VLOOKUP(C1052,CategoryMap,2,0)</f>
        <v/>
      </c>
      <c r="F1052">
        <f>VLOOKUP(D1052,CategoryMap,2,0)</f>
        <v/>
      </c>
      <c r="G1052">
        <f>ABS(E1052-F1052)</f>
        <v/>
      </c>
      <c r="H1052">
        <f>IF(G1052=0,"Yes","No")</f>
        <v/>
      </c>
      <c r="I1052" t="inlineStr">
        <is>
          <t>Yes</t>
        </is>
      </c>
      <c r="J1052">
        <f>IF(I1052="","",IF(AND(I1052=C1052,I1052=D1052),"Both",IF(I1052=C1052,"Opus",IF(I1052=D1052,"Sonnet","Neither"))))</f>
        <v/>
      </c>
    </row>
    <row r="1053">
      <c r="A1053" t="inlineStr">
        <is>
          <t>R302</t>
        </is>
      </c>
      <c r="B1053" t="inlineStr">
        <is>
          <t>Q4</t>
        </is>
      </c>
      <c r="C1053" t="inlineStr">
        <is>
          <t>Yes</t>
        </is>
      </c>
      <c r="D1053" t="inlineStr">
        <is>
          <t>Yes</t>
        </is>
      </c>
      <c r="E1053">
        <f>VLOOKUP(C1053,CategoryMap,2,0)</f>
        <v/>
      </c>
      <c r="F1053">
        <f>VLOOKUP(D1053,CategoryMap,2,0)</f>
        <v/>
      </c>
      <c r="G1053">
        <f>ABS(E1053-F1053)</f>
        <v/>
      </c>
      <c r="H1053">
        <f>IF(G1053=0,"Yes","No")</f>
        <v/>
      </c>
      <c r="I1053" t="inlineStr">
        <is>
          <t>Yes</t>
        </is>
      </c>
      <c r="J1053">
        <f>IF(I1053="","",IF(AND(I1053=C1053,I1053=D1053),"Both",IF(I1053=C1053,"Opus",IF(I1053=D1053,"Sonnet","Neither"))))</f>
        <v/>
      </c>
    </row>
    <row r="1054">
      <c r="A1054" t="inlineStr">
        <is>
          <t>R302</t>
        </is>
      </c>
      <c r="B1054" t="inlineStr">
        <is>
          <t>Q5</t>
        </is>
      </c>
      <c r="C1054" t="inlineStr">
        <is>
          <t>Yes</t>
        </is>
      </c>
      <c r="D1054" t="inlineStr">
        <is>
          <t>Yes</t>
        </is>
      </c>
      <c r="E1054">
        <f>VLOOKUP(C1054,CategoryMap,2,0)</f>
        <v/>
      </c>
      <c r="F1054">
        <f>VLOOKUP(D1054,CategoryMap,2,0)</f>
        <v/>
      </c>
      <c r="G1054">
        <f>ABS(E1054-F1054)</f>
        <v/>
      </c>
      <c r="H1054">
        <f>IF(G1054=0,"Yes","No")</f>
        <v/>
      </c>
      <c r="I1054" t="inlineStr">
        <is>
          <t>Yes</t>
        </is>
      </c>
      <c r="J1054">
        <f>IF(I1054="","",IF(AND(I1054=C1054,I1054=D1054),"Both",IF(I1054=C1054,"Opus",IF(I1054=D1054,"Sonnet","Neither"))))</f>
        <v/>
      </c>
    </row>
    <row r="1055">
      <c r="A1055" t="inlineStr">
        <is>
          <t>R302</t>
        </is>
      </c>
      <c r="B1055" t="inlineStr">
        <is>
          <t>Q6</t>
        </is>
      </c>
      <c r="C1055" t="inlineStr">
        <is>
          <t>Yes</t>
        </is>
      </c>
      <c r="D1055" t="inlineStr">
        <is>
          <t>Yes</t>
        </is>
      </c>
      <c r="E1055">
        <f>VLOOKUP(C1055,CategoryMap,2,0)</f>
        <v/>
      </c>
      <c r="F1055">
        <f>VLOOKUP(D1055,CategoryMap,2,0)</f>
        <v/>
      </c>
      <c r="G1055">
        <f>ABS(E1055-F1055)</f>
        <v/>
      </c>
      <c r="H1055">
        <f>IF(G1055=0,"Yes","No")</f>
        <v/>
      </c>
      <c r="I1055" t="inlineStr">
        <is>
          <t>Yes</t>
        </is>
      </c>
      <c r="J1055">
        <f>IF(I1055="","",IF(AND(I1055=C1055,I1055=D1055),"Both",IF(I1055=C1055,"Opus",IF(I1055=D1055,"Sonnet","Neither"))))</f>
        <v/>
      </c>
    </row>
    <row r="1056">
      <c r="A1056" t="inlineStr">
        <is>
          <t>R302</t>
        </is>
      </c>
      <c r="B1056" t="inlineStr">
        <is>
          <t>Q7</t>
        </is>
      </c>
      <c r="C1056" t="inlineStr">
        <is>
          <t>Yes</t>
        </is>
      </c>
      <c r="D1056" t="inlineStr">
        <is>
          <t>Yes</t>
        </is>
      </c>
      <c r="E1056">
        <f>VLOOKUP(C1056,CategoryMap,2,0)</f>
        <v/>
      </c>
      <c r="F1056">
        <f>VLOOKUP(D1056,CategoryMap,2,0)</f>
        <v/>
      </c>
      <c r="G1056">
        <f>ABS(E1056-F1056)</f>
        <v/>
      </c>
      <c r="H1056">
        <f>IF(G1056=0,"Yes","No")</f>
        <v/>
      </c>
      <c r="I1056" t="inlineStr">
        <is>
          <t>Yes</t>
        </is>
      </c>
      <c r="J1056">
        <f>IF(I1056="","",IF(AND(I1056=C1056,I1056=D1056),"Both",IF(I1056=C1056,"Opus",IF(I1056=D1056,"Sonnet","Neither"))))</f>
        <v/>
      </c>
    </row>
    <row r="1057">
      <c r="A1057" t="inlineStr">
        <is>
          <t>R302</t>
        </is>
      </c>
      <c r="B1057" t="inlineStr">
        <is>
          <t>Q8</t>
        </is>
      </c>
      <c r="C1057" t="inlineStr">
        <is>
          <t>Partial</t>
        </is>
      </c>
      <c r="D1057" t="inlineStr">
        <is>
          <t>Partial</t>
        </is>
      </c>
      <c r="E1057">
        <f>VLOOKUP(C1057,CategoryMap,2,0)</f>
        <v/>
      </c>
      <c r="F1057">
        <f>VLOOKUP(D1057,CategoryMap,2,0)</f>
        <v/>
      </c>
      <c r="G1057">
        <f>ABS(E1057-F1057)</f>
        <v/>
      </c>
      <c r="H1057">
        <f>IF(G1057=0,"Yes","No")</f>
        <v/>
      </c>
      <c r="I1057" t="inlineStr">
        <is>
          <t>Partial</t>
        </is>
      </c>
      <c r="J1057">
        <f>IF(I1057="","",IF(AND(I1057=C1057,I1057=D1057),"Both",IF(I1057=C1057,"Opus",IF(I1057=D1057,"Sonnet","Neither"))))</f>
        <v/>
      </c>
    </row>
    <row r="1058">
      <c r="A1058" t="inlineStr">
        <is>
          <t>R305</t>
        </is>
      </c>
      <c r="B1058" t="inlineStr">
        <is>
          <t>Q1</t>
        </is>
      </c>
      <c r="C1058" t="inlineStr">
        <is>
          <t>Partial</t>
        </is>
      </c>
      <c r="D1058" t="inlineStr">
        <is>
          <t>No</t>
        </is>
      </c>
      <c r="E1058">
        <f>VLOOKUP(C1058,CategoryMap,2,0)</f>
        <v/>
      </c>
      <c r="F1058">
        <f>VLOOKUP(D1058,CategoryMap,2,0)</f>
        <v/>
      </c>
      <c r="G1058">
        <f>ABS(E1058-F1058)</f>
        <v/>
      </c>
      <c r="H1058">
        <f>IF(G1058=0,"Yes","No")</f>
        <v/>
      </c>
      <c r="I1058" t="inlineStr">
        <is>
          <t>No</t>
        </is>
      </c>
      <c r="J1058">
        <f>IF(I1058="","",IF(AND(I1058=C1058,I1058=D1058),"Both",IF(I1058=C1058,"Opus",IF(I1058=D1058,"Sonnet","Neither"))))</f>
        <v/>
      </c>
    </row>
    <row r="1059">
      <c r="A1059" t="inlineStr">
        <is>
          <t>R305</t>
        </is>
      </c>
      <c r="B1059" t="inlineStr">
        <is>
          <t>Q2</t>
        </is>
      </c>
      <c r="C1059" t="inlineStr">
        <is>
          <t>Partial</t>
        </is>
      </c>
      <c r="D1059" t="inlineStr">
        <is>
          <t>Partial</t>
        </is>
      </c>
      <c r="E1059">
        <f>VLOOKUP(C1059,CategoryMap,2,0)</f>
        <v/>
      </c>
      <c r="F1059">
        <f>VLOOKUP(D1059,CategoryMap,2,0)</f>
        <v/>
      </c>
      <c r="G1059">
        <f>ABS(E1059-F1059)</f>
        <v/>
      </c>
      <c r="H1059">
        <f>IF(G1059=0,"Yes","No")</f>
        <v/>
      </c>
      <c r="I1059" t="inlineStr">
        <is>
          <t>Partial</t>
        </is>
      </c>
      <c r="J1059">
        <f>IF(I1059="","",IF(AND(I1059=C1059,I1059=D1059),"Both",IF(I1059=C1059,"Opus",IF(I1059=D1059,"Sonnet","Neither"))))</f>
        <v/>
      </c>
    </row>
    <row r="1060">
      <c r="A1060" t="inlineStr">
        <is>
          <t>R305</t>
        </is>
      </c>
      <c r="B1060" t="inlineStr">
        <is>
          <t>Q3</t>
        </is>
      </c>
      <c r="C1060" t="inlineStr">
        <is>
          <t>Yes</t>
        </is>
      </c>
      <c r="D1060" t="inlineStr">
        <is>
          <t>Partial</t>
        </is>
      </c>
      <c r="E1060">
        <f>VLOOKUP(C1060,CategoryMap,2,0)</f>
        <v/>
      </c>
      <c r="F1060">
        <f>VLOOKUP(D1060,CategoryMap,2,0)</f>
        <v/>
      </c>
      <c r="G1060">
        <f>ABS(E1060-F1060)</f>
        <v/>
      </c>
      <c r="H1060">
        <f>IF(G1060=0,"Yes","No")</f>
        <v/>
      </c>
      <c r="I1060" t="inlineStr">
        <is>
          <t>Partial</t>
        </is>
      </c>
      <c r="J1060">
        <f>IF(I1060="","",IF(AND(I1060=C1060,I1060=D1060),"Both",IF(I1060=C1060,"Opus",IF(I1060=D1060,"Sonnet","Neither"))))</f>
        <v/>
      </c>
    </row>
    <row r="1061">
      <c r="A1061" t="inlineStr">
        <is>
          <t>R305</t>
        </is>
      </c>
      <c r="B1061" t="inlineStr">
        <is>
          <t>Q4</t>
        </is>
      </c>
      <c r="C1061" t="inlineStr">
        <is>
          <t>Partial</t>
        </is>
      </c>
      <c r="D1061" t="inlineStr">
        <is>
          <t>Yes</t>
        </is>
      </c>
      <c r="E1061">
        <f>VLOOKUP(C1061,CategoryMap,2,0)</f>
        <v/>
      </c>
      <c r="F1061">
        <f>VLOOKUP(D1061,CategoryMap,2,0)</f>
        <v/>
      </c>
      <c r="G1061">
        <f>ABS(E1061-F1061)</f>
        <v/>
      </c>
      <c r="H1061">
        <f>IF(G1061=0,"Yes","No")</f>
        <v/>
      </c>
      <c r="I1061" t="inlineStr">
        <is>
          <t>Partial</t>
        </is>
      </c>
      <c r="J1061">
        <f>IF(I1061="","",IF(AND(I1061=C1061,I1061=D1061),"Both",IF(I1061=C1061,"Opus",IF(I1061=D1061,"Sonnet","Neither"))))</f>
        <v/>
      </c>
    </row>
    <row r="1062">
      <c r="A1062" t="inlineStr">
        <is>
          <t>R305</t>
        </is>
      </c>
      <c r="B1062" t="inlineStr">
        <is>
          <t>Q5</t>
        </is>
      </c>
      <c r="C1062" t="inlineStr">
        <is>
          <t>Partial</t>
        </is>
      </c>
      <c r="D1062" t="inlineStr">
        <is>
          <t>Partial</t>
        </is>
      </c>
      <c r="E1062">
        <f>VLOOKUP(C1062,CategoryMap,2,0)</f>
        <v/>
      </c>
      <c r="F1062">
        <f>VLOOKUP(D1062,CategoryMap,2,0)</f>
        <v/>
      </c>
      <c r="G1062">
        <f>ABS(E1062-F1062)</f>
        <v/>
      </c>
      <c r="H1062">
        <f>IF(G1062=0,"Yes","No")</f>
        <v/>
      </c>
      <c r="I1062" t="inlineStr">
        <is>
          <t>Partial</t>
        </is>
      </c>
      <c r="J1062">
        <f>IF(I1062="","",IF(AND(I1062=C1062,I1062=D1062),"Both",IF(I1062=C1062,"Opus",IF(I1062=D1062,"Sonnet","Neither"))))</f>
        <v/>
      </c>
    </row>
    <row r="1063">
      <c r="A1063" t="inlineStr">
        <is>
          <t>R305</t>
        </is>
      </c>
      <c r="B1063" t="inlineStr">
        <is>
          <t>Q6</t>
        </is>
      </c>
      <c r="C1063" t="inlineStr">
        <is>
          <t>Partial</t>
        </is>
      </c>
      <c r="D1063" t="inlineStr">
        <is>
          <t>Partial</t>
        </is>
      </c>
      <c r="E1063">
        <f>VLOOKUP(C1063,CategoryMap,2,0)</f>
        <v/>
      </c>
      <c r="F1063">
        <f>VLOOKUP(D1063,CategoryMap,2,0)</f>
        <v/>
      </c>
      <c r="G1063">
        <f>ABS(E1063-F1063)</f>
        <v/>
      </c>
      <c r="H1063">
        <f>IF(G1063=0,"Yes","No")</f>
        <v/>
      </c>
      <c r="I1063" t="inlineStr">
        <is>
          <t>Partial</t>
        </is>
      </c>
      <c r="J1063">
        <f>IF(I1063="","",IF(AND(I1063=C1063,I1063=D1063),"Both",IF(I1063=C1063,"Opus",IF(I1063=D1063,"Sonnet","Neither"))))</f>
        <v/>
      </c>
    </row>
    <row r="1064">
      <c r="A1064" t="inlineStr">
        <is>
          <t>R305</t>
        </is>
      </c>
      <c r="B1064" t="inlineStr">
        <is>
          <t>Q7</t>
        </is>
      </c>
      <c r="C1064" t="inlineStr">
        <is>
          <t>Yes</t>
        </is>
      </c>
      <c r="D1064" t="inlineStr">
        <is>
          <t>Yes</t>
        </is>
      </c>
      <c r="E1064">
        <f>VLOOKUP(C1064,CategoryMap,2,0)</f>
        <v/>
      </c>
      <c r="F1064">
        <f>VLOOKUP(D1064,CategoryMap,2,0)</f>
        <v/>
      </c>
      <c r="G1064">
        <f>ABS(E1064-F1064)</f>
        <v/>
      </c>
      <c r="H1064">
        <f>IF(G1064=0,"Yes","No")</f>
        <v/>
      </c>
      <c r="I1064" t="inlineStr">
        <is>
          <t>Yes</t>
        </is>
      </c>
      <c r="J1064">
        <f>IF(I1064="","",IF(AND(I1064=C1064,I1064=D1064),"Both",IF(I1064=C1064,"Opus",IF(I1064=D1064,"Sonnet","Neither"))))</f>
        <v/>
      </c>
    </row>
    <row r="1065">
      <c r="A1065" t="inlineStr">
        <is>
          <t>R305</t>
        </is>
      </c>
      <c r="B1065" t="inlineStr">
        <is>
          <t>Q8</t>
        </is>
      </c>
      <c r="C1065" t="inlineStr">
        <is>
          <t>Partial</t>
        </is>
      </c>
      <c r="D1065" t="inlineStr">
        <is>
          <t>No</t>
        </is>
      </c>
      <c r="E1065">
        <f>VLOOKUP(C1065,CategoryMap,2,0)</f>
        <v/>
      </c>
      <c r="F1065">
        <f>VLOOKUP(D1065,CategoryMap,2,0)</f>
        <v/>
      </c>
      <c r="G1065">
        <f>ABS(E1065-F1065)</f>
        <v/>
      </c>
      <c r="H1065">
        <f>IF(G1065=0,"Yes","No")</f>
        <v/>
      </c>
      <c r="I1065" t="inlineStr">
        <is>
          <t>No</t>
        </is>
      </c>
      <c r="J1065">
        <f>IF(I1065="","",IF(AND(I1065=C1065,I1065=D1065),"Both",IF(I1065=C1065,"Opus",IF(I1065=D1065,"Sonnet","Neither"))))</f>
        <v/>
      </c>
    </row>
    <row r="1066">
      <c r="A1066" t="inlineStr">
        <is>
          <t>R306</t>
        </is>
      </c>
      <c r="B1066" t="inlineStr">
        <is>
          <t>Q1</t>
        </is>
      </c>
      <c r="C1066" t="inlineStr">
        <is>
          <t>Yes</t>
        </is>
      </c>
      <c r="D1066" t="inlineStr">
        <is>
          <t>Partial</t>
        </is>
      </c>
      <c r="E1066">
        <f>VLOOKUP(C1066,CategoryMap,2,0)</f>
        <v/>
      </c>
      <c r="F1066">
        <f>VLOOKUP(D1066,CategoryMap,2,0)</f>
        <v/>
      </c>
      <c r="G1066">
        <f>ABS(E1066-F1066)</f>
        <v/>
      </c>
      <c r="H1066">
        <f>IF(G1066=0,"Yes","No")</f>
        <v/>
      </c>
      <c r="I1066" t="inlineStr">
        <is>
          <t>Partial</t>
        </is>
      </c>
      <c r="J1066">
        <f>IF(I1066="","",IF(AND(I1066=C1066,I1066=D1066),"Both",IF(I1066=C1066,"Opus",IF(I1066=D1066,"Sonnet","Neither"))))</f>
        <v/>
      </c>
    </row>
    <row r="1067">
      <c r="A1067" t="inlineStr">
        <is>
          <t>R306</t>
        </is>
      </c>
      <c r="B1067" t="inlineStr">
        <is>
          <t>Q2</t>
        </is>
      </c>
      <c r="C1067" t="inlineStr">
        <is>
          <t>Yes</t>
        </is>
      </c>
      <c r="D1067" t="inlineStr">
        <is>
          <t>Yes</t>
        </is>
      </c>
      <c r="E1067">
        <f>VLOOKUP(C1067,CategoryMap,2,0)</f>
        <v/>
      </c>
      <c r="F1067">
        <f>VLOOKUP(D1067,CategoryMap,2,0)</f>
        <v/>
      </c>
      <c r="G1067">
        <f>ABS(E1067-F1067)</f>
        <v/>
      </c>
      <c r="H1067">
        <f>IF(G1067=0,"Yes","No")</f>
        <v/>
      </c>
      <c r="I1067" t="inlineStr">
        <is>
          <t>Yes</t>
        </is>
      </c>
      <c r="J1067">
        <f>IF(I1067="","",IF(AND(I1067=C1067,I1067=D1067),"Both",IF(I1067=C1067,"Opus",IF(I1067=D1067,"Sonnet","Neither"))))</f>
        <v/>
      </c>
    </row>
    <row r="1068">
      <c r="A1068" t="inlineStr">
        <is>
          <t>R306</t>
        </is>
      </c>
      <c r="B1068" t="inlineStr">
        <is>
          <t>Q3</t>
        </is>
      </c>
      <c r="C1068" t="inlineStr">
        <is>
          <t>Yes</t>
        </is>
      </c>
      <c r="D1068" t="inlineStr">
        <is>
          <t>Yes</t>
        </is>
      </c>
      <c r="E1068">
        <f>VLOOKUP(C1068,CategoryMap,2,0)</f>
        <v/>
      </c>
      <c r="F1068">
        <f>VLOOKUP(D1068,CategoryMap,2,0)</f>
        <v/>
      </c>
      <c r="G1068">
        <f>ABS(E1068-F1068)</f>
        <v/>
      </c>
      <c r="H1068">
        <f>IF(G1068=0,"Yes","No")</f>
        <v/>
      </c>
      <c r="I1068" t="inlineStr">
        <is>
          <t>Yes</t>
        </is>
      </c>
      <c r="J1068">
        <f>IF(I1068="","",IF(AND(I1068=C1068,I1068=D1068),"Both",IF(I1068=C1068,"Opus",IF(I1068=D1068,"Sonnet","Neither"))))</f>
        <v/>
      </c>
    </row>
    <row r="1069">
      <c r="A1069" t="inlineStr">
        <is>
          <t>R306</t>
        </is>
      </c>
      <c r="B1069" t="inlineStr">
        <is>
          <t>Q4</t>
        </is>
      </c>
      <c r="C1069" t="inlineStr">
        <is>
          <t>Partial</t>
        </is>
      </c>
      <c r="D1069" t="inlineStr">
        <is>
          <t>Yes</t>
        </is>
      </c>
      <c r="E1069">
        <f>VLOOKUP(C1069,CategoryMap,2,0)</f>
        <v/>
      </c>
      <c r="F1069">
        <f>VLOOKUP(D1069,CategoryMap,2,0)</f>
        <v/>
      </c>
      <c r="G1069">
        <f>ABS(E1069-F1069)</f>
        <v/>
      </c>
      <c r="H1069">
        <f>IF(G1069=0,"Yes","No")</f>
        <v/>
      </c>
      <c r="I1069" t="inlineStr">
        <is>
          <t>Partial</t>
        </is>
      </c>
      <c r="J1069">
        <f>IF(I1069="","",IF(AND(I1069=C1069,I1069=D1069),"Both",IF(I1069=C1069,"Opus",IF(I1069=D1069,"Sonnet","Neither"))))</f>
        <v/>
      </c>
    </row>
    <row r="1070">
      <c r="A1070" t="inlineStr">
        <is>
          <t>R306</t>
        </is>
      </c>
      <c r="B1070" t="inlineStr">
        <is>
          <t>Q5</t>
        </is>
      </c>
      <c r="C1070" t="inlineStr">
        <is>
          <t>Partial</t>
        </is>
      </c>
      <c r="D1070" t="inlineStr">
        <is>
          <t>Partial</t>
        </is>
      </c>
      <c r="E1070">
        <f>VLOOKUP(C1070,CategoryMap,2,0)</f>
        <v/>
      </c>
      <c r="F1070">
        <f>VLOOKUP(D1070,CategoryMap,2,0)</f>
        <v/>
      </c>
      <c r="G1070">
        <f>ABS(E1070-F1070)</f>
        <v/>
      </c>
      <c r="H1070">
        <f>IF(G1070=0,"Yes","No")</f>
        <v/>
      </c>
      <c r="I1070" t="inlineStr">
        <is>
          <t>Partial</t>
        </is>
      </c>
      <c r="J1070">
        <f>IF(I1070="","",IF(AND(I1070=C1070,I1070=D1070),"Both",IF(I1070=C1070,"Opus",IF(I1070=D1070,"Sonnet","Neither"))))</f>
        <v/>
      </c>
    </row>
    <row r="1071">
      <c r="A1071" t="inlineStr">
        <is>
          <t>R306</t>
        </is>
      </c>
      <c r="B1071" t="inlineStr">
        <is>
          <t>Q6</t>
        </is>
      </c>
      <c r="C1071" t="inlineStr">
        <is>
          <t>Partial</t>
        </is>
      </c>
      <c r="D1071" t="inlineStr">
        <is>
          <t>Partial</t>
        </is>
      </c>
      <c r="E1071">
        <f>VLOOKUP(C1071,CategoryMap,2,0)</f>
        <v/>
      </c>
      <c r="F1071">
        <f>VLOOKUP(D1071,CategoryMap,2,0)</f>
        <v/>
      </c>
      <c r="G1071">
        <f>ABS(E1071-F1071)</f>
        <v/>
      </c>
      <c r="H1071">
        <f>IF(G1071=0,"Yes","No")</f>
        <v/>
      </c>
      <c r="I1071" t="inlineStr">
        <is>
          <t>Partial</t>
        </is>
      </c>
      <c r="J1071">
        <f>IF(I1071="","",IF(AND(I1071=C1071,I1071=D1071),"Both",IF(I1071=C1071,"Opus",IF(I1071=D1071,"Sonnet","Neither"))))</f>
        <v/>
      </c>
    </row>
    <row r="1072">
      <c r="A1072" t="inlineStr">
        <is>
          <t>R306</t>
        </is>
      </c>
      <c r="B1072" t="inlineStr">
        <is>
          <t>Q7</t>
        </is>
      </c>
      <c r="C1072" t="inlineStr">
        <is>
          <t>Yes</t>
        </is>
      </c>
      <c r="D1072" t="inlineStr">
        <is>
          <t>Yes</t>
        </is>
      </c>
      <c r="E1072">
        <f>VLOOKUP(C1072,CategoryMap,2,0)</f>
        <v/>
      </c>
      <c r="F1072">
        <f>VLOOKUP(D1072,CategoryMap,2,0)</f>
        <v/>
      </c>
      <c r="G1072">
        <f>ABS(E1072-F1072)</f>
        <v/>
      </c>
      <c r="H1072">
        <f>IF(G1072=0,"Yes","No")</f>
        <v/>
      </c>
      <c r="I1072" t="inlineStr">
        <is>
          <t>Yes</t>
        </is>
      </c>
      <c r="J1072">
        <f>IF(I1072="","",IF(AND(I1072=C1072,I1072=D1072),"Both",IF(I1072=C1072,"Opus",IF(I1072=D1072,"Sonnet","Neither"))))</f>
        <v/>
      </c>
    </row>
    <row r="1073">
      <c r="A1073" t="inlineStr">
        <is>
          <t>R306</t>
        </is>
      </c>
      <c r="B1073" t="inlineStr">
        <is>
          <t>Q8</t>
        </is>
      </c>
      <c r="C1073" t="inlineStr">
        <is>
          <t>Partial</t>
        </is>
      </c>
      <c r="D1073" t="inlineStr">
        <is>
          <t>Partial</t>
        </is>
      </c>
      <c r="E1073">
        <f>VLOOKUP(C1073,CategoryMap,2,0)</f>
        <v/>
      </c>
      <c r="F1073">
        <f>VLOOKUP(D1073,CategoryMap,2,0)</f>
        <v/>
      </c>
      <c r="G1073">
        <f>ABS(E1073-F1073)</f>
        <v/>
      </c>
      <c r="H1073">
        <f>IF(G1073=0,"Yes","No")</f>
        <v/>
      </c>
      <c r="I1073" t="inlineStr">
        <is>
          <t>Yes</t>
        </is>
      </c>
      <c r="J1073">
        <f>IF(I1073="","",IF(AND(I1073=C1073,I1073=D1073),"Both",IF(I1073=C1073,"Opus",IF(I1073=D1073,"Sonnet","Neither"))))</f>
        <v/>
      </c>
    </row>
    <row r="1074">
      <c r="A1074" t="inlineStr">
        <is>
          <t>R310</t>
        </is>
      </c>
      <c r="B1074" t="inlineStr">
        <is>
          <t>Q1</t>
        </is>
      </c>
      <c r="C1074" t="inlineStr">
        <is>
          <t>No</t>
        </is>
      </c>
      <c r="D1074" t="inlineStr">
        <is>
          <t>No</t>
        </is>
      </c>
      <c r="E1074">
        <f>VLOOKUP(C1074,CategoryMap,2,0)</f>
        <v/>
      </c>
      <c r="F1074">
        <f>VLOOKUP(D1074,CategoryMap,2,0)</f>
        <v/>
      </c>
      <c r="G1074">
        <f>ABS(E1074-F1074)</f>
        <v/>
      </c>
      <c r="H1074">
        <f>IF(G1074=0,"Yes","No")</f>
        <v/>
      </c>
      <c r="I1074" t="inlineStr">
        <is>
          <t>No</t>
        </is>
      </c>
      <c r="J1074">
        <f>IF(I1074="","",IF(AND(I1074=C1074,I1074=D1074),"Both",IF(I1074=C1074,"Opus",IF(I1074=D1074,"Sonnet","Neither"))))</f>
        <v/>
      </c>
    </row>
    <row r="1075">
      <c r="A1075" t="inlineStr">
        <is>
          <t>R310</t>
        </is>
      </c>
      <c r="B1075" t="inlineStr">
        <is>
          <t>Q2</t>
        </is>
      </c>
      <c r="C1075" t="inlineStr">
        <is>
          <t>Partial</t>
        </is>
      </c>
      <c r="D1075" t="inlineStr">
        <is>
          <t>No</t>
        </is>
      </c>
      <c r="E1075">
        <f>VLOOKUP(C1075,CategoryMap,2,0)</f>
        <v/>
      </c>
      <c r="F1075">
        <f>VLOOKUP(D1075,CategoryMap,2,0)</f>
        <v/>
      </c>
      <c r="G1075">
        <f>ABS(E1075-F1075)</f>
        <v/>
      </c>
      <c r="H1075">
        <f>IF(G1075=0,"Yes","No")</f>
        <v/>
      </c>
      <c r="I1075" t="inlineStr">
        <is>
          <t>No</t>
        </is>
      </c>
      <c r="J1075">
        <f>IF(I1075="","",IF(AND(I1075=C1075,I1075=D1075),"Both",IF(I1075=C1075,"Opus",IF(I1075=D1075,"Sonnet","Neither"))))</f>
        <v/>
      </c>
    </row>
    <row r="1076">
      <c r="A1076" t="inlineStr">
        <is>
          <t>R310</t>
        </is>
      </c>
      <c r="B1076" t="inlineStr">
        <is>
          <t>Q3</t>
        </is>
      </c>
      <c r="C1076" t="inlineStr">
        <is>
          <t>Partial</t>
        </is>
      </c>
      <c r="D1076" t="inlineStr">
        <is>
          <t>No</t>
        </is>
      </c>
      <c r="E1076">
        <f>VLOOKUP(C1076,CategoryMap,2,0)</f>
        <v/>
      </c>
      <c r="F1076">
        <f>VLOOKUP(D1076,CategoryMap,2,0)</f>
        <v/>
      </c>
      <c r="G1076">
        <f>ABS(E1076-F1076)</f>
        <v/>
      </c>
      <c r="H1076">
        <f>IF(G1076=0,"Yes","No")</f>
        <v/>
      </c>
      <c r="I1076" t="inlineStr">
        <is>
          <t>No</t>
        </is>
      </c>
      <c r="J1076">
        <f>IF(I1076="","",IF(AND(I1076=C1076,I1076=D1076),"Both",IF(I1076=C1076,"Opus",IF(I1076=D1076,"Sonnet","Neither"))))</f>
        <v/>
      </c>
    </row>
    <row r="1077">
      <c r="A1077" t="inlineStr">
        <is>
          <t>R310</t>
        </is>
      </c>
      <c r="B1077" t="inlineStr">
        <is>
          <t>Q4</t>
        </is>
      </c>
      <c r="C1077" t="inlineStr">
        <is>
          <t>Partial</t>
        </is>
      </c>
      <c r="D1077" t="inlineStr">
        <is>
          <t>Partial</t>
        </is>
      </c>
      <c r="E1077">
        <f>VLOOKUP(C1077,CategoryMap,2,0)</f>
        <v/>
      </c>
      <c r="F1077">
        <f>VLOOKUP(D1077,CategoryMap,2,0)</f>
        <v/>
      </c>
      <c r="G1077">
        <f>ABS(E1077-F1077)</f>
        <v/>
      </c>
      <c r="H1077">
        <f>IF(G1077=0,"Yes","No")</f>
        <v/>
      </c>
      <c r="I1077" t="inlineStr">
        <is>
          <t>Partial</t>
        </is>
      </c>
      <c r="J1077">
        <f>IF(I1077="","",IF(AND(I1077=C1077,I1077=D1077),"Both",IF(I1077=C1077,"Opus",IF(I1077=D1077,"Sonnet","Neither"))))</f>
        <v/>
      </c>
    </row>
    <row r="1078">
      <c r="A1078" t="inlineStr">
        <is>
          <t>R310</t>
        </is>
      </c>
      <c r="B1078" t="inlineStr">
        <is>
          <t>Q5</t>
        </is>
      </c>
      <c r="C1078" t="inlineStr">
        <is>
          <t>Partial</t>
        </is>
      </c>
      <c r="D1078" t="inlineStr">
        <is>
          <t>No</t>
        </is>
      </c>
      <c r="E1078">
        <f>VLOOKUP(C1078,CategoryMap,2,0)</f>
        <v/>
      </c>
      <c r="F1078">
        <f>VLOOKUP(D1078,CategoryMap,2,0)</f>
        <v/>
      </c>
      <c r="G1078">
        <f>ABS(E1078-F1078)</f>
        <v/>
      </c>
      <c r="H1078">
        <f>IF(G1078=0,"Yes","No")</f>
        <v/>
      </c>
      <c r="I1078" t="inlineStr">
        <is>
          <t>No</t>
        </is>
      </c>
      <c r="J1078">
        <f>IF(I1078="","",IF(AND(I1078=C1078,I1078=D1078),"Both",IF(I1078=C1078,"Opus",IF(I1078=D1078,"Sonnet","Neither"))))</f>
        <v/>
      </c>
    </row>
    <row r="1079">
      <c r="A1079" t="inlineStr">
        <is>
          <t>R310</t>
        </is>
      </c>
      <c r="B1079" t="inlineStr">
        <is>
          <t>Q6</t>
        </is>
      </c>
      <c r="C1079" t="inlineStr">
        <is>
          <t>No</t>
        </is>
      </c>
      <c r="D1079" t="inlineStr">
        <is>
          <t>No</t>
        </is>
      </c>
      <c r="E1079">
        <f>VLOOKUP(C1079,CategoryMap,2,0)</f>
        <v/>
      </c>
      <c r="F1079">
        <f>VLOOKUP(D1079,CategoryMap,2,0)</f>
        <v/>
      </c>
      <c r="G1079">
        <f>ABS(E1079-F1079)</f>
        <v/>
      </c>
      <c r="H1079">
        <f>IF(G1079=0,"Yes","No")</f>
        <v/>
      </c>
      <c r="I1079" t="inlineStr">
        <is>
          <t>No</t>
        </is>
      </c>
      <c r="J1079">
        <f>IF(I1079="","",IF(AND(I1079=C1079,I1079=D1079),"Both",IF(I1079=C1079,"Opus",IF(I1079=D1079,"Sonnet","Neither"))))</f>
        <v/>
      </c>
    </row>
    <row r="1080">
      <c r="A1080" t="inlineStr">
        <is>
          <t>R310</t>
        </is>
      </c>
      <c r="B1080" t="inlineStr">
        <is>
          <t>Q7</t>
        </is>
      </c>
      <c r="C1080" t="inlineStr">
        <is>
          <t>Partial</t>
        </is>
      </c>
      <c r="D1080" t="inlineStr">
        <is>
          <t>Partial</t>
        </is>
      </c>
      <c r="E1080">
        <f>VLOOKUP(C1080,CategoryMap,2,0)</f>
        <v/>
      </c>
      <c r="F1080">
        <f>VLOOKUP(D1080,CategoryMap,2,0)</f>
        <v/>
      </c>
      <c r="G1080">
        <f>ABS(E1080-F1080)</f>
        <v/>
      </c>
      <c r="H1080">
        <f>IF(G1080=0,"Yes","No")</f>
        <v/>
      </c>
      <c r="I1080" t="inlineStr">
        <is>
          <t>Partial</t>
        </is>
      </c>
      <c r="J1080">
        <f>IF(I1080="","",IF(AND(I1080=C1080,I1080=D1080),"Both",IF(I1080=C1080,"Opus",IF(I1080=D1080,"Sonnet","Neither"))))</f>
        <v/>
      </c>
    </row>
    <row r="1081">
      <c r="A1081" t="inlineStr">
        <is>
          <t>R310</t>
        </is>
      </c>
      <c r="B1081" t="inlineStr">
        <is>
          <t>Q8</t>
        </is>
      </c>
      <c r="C1081" t="inlineStr">
        <is>
          <t>No</t>
        </is>
      </c>
      <c r="D1081" t="inlineStr">
        <is>
          <t>No</t>
        </is>
      </c>
      <c r="E1081">
        <f>VLOOKUP(C1081,CategoryMap,2,0)</f>
        <v/>
      </c>
      <c r="F1081">
        <f>VLOOKUP(D1081,CategoryMap,2,0)</f>
        <v/>
      </c>
      <c r="G1081">
        <f>ABS(E1081-F1081)</f>
        <v/>
      </c>
      <c r="H1081">
        <f>IF(G1081=0,"Yes","No")</f>
        <v/>
      </c>
      <c r="I1081" t="inlineStr">
        <is>
          <t>No</t>
        </is>
      </c>
      <c r="J1081">
        <f>IF(I1081="","",IF(AND(I1081=C1081,I1081=D1081),"Both",IF(I1081=C1081,"Opus",IF(I1081=D1081,"Sonnet","Neither"))))</f>
        <v/>
      </c>
    </row>
    <row r="1082">
      <c r="A1082" t="inlineStr">
        <is>
          <t>R311</t>
        </is>
      </c>
      <c r="B1082" t="inlineStr">
        <is>
          <t>Q1</t>
        </is>
      </c>
      <c r="C1082" t="inlineStr">
        <is>
          <t>Partial</t>
        </is>
      </c>
      <c r="D1082" t="inlineStr">
        <is>
          <t>Partial</t>
        </is>
      </c>
      <c r="E1082">
        <f>VLOOKUP(C1082,CategoryMap,2,0)</f>
        <v/>
      </c>
      <c r="F1082">
        <f>VLOOKUP(D1082,CategoryMap,2,0)</f>
        <v/>
      </c>
      <c r="G1082">
        <f>ABS(E1082-F1082)</f>
        <v/>
      </c>
      <c r="H1082">
        <f>IF(G1082=0,"Yes","No")</f>
        <v/>
      </c>
      <c r="I1082" t="inlineStr">
        <is>
          <t>Partial</t>
        </is>
      </c>
      <c r="J1082">
        <f>IF(I1082="","",IF(AND(I1082=C1082,I1082=D1082),"Both",IF(I1082=C1082,"Opus",IF(I1082=D1082,"Sonnet","Neither"))))</f>
        <v/>
      </c>
    </row>
    <row r="1083">
      <c r="A1083" t="inlineStr">
        <is>
          <t>R311</t>
        </is>
      </c>
      <c r="B1083" t="inlineStr">
        <is>
          <t>Q2</t>
        </is>
      </c>
      <c r="C1083" t="inlineStr">
        <is>
          <t>Yes</t>
        </is>
      </c>
      <c r="D1083" t="inlineStr">
        <is>
          <t>Yes</t>
        </is>
      </c>
      <c r="E1083">
        <f>VLOOKUP(C1083,CategoryMap,2,0)</f>
        <v/>
      </c>
      <c r="F1083">
        <f>VLOOKUP(D1083,CategoryMap,2,0)</f>
        <v/>
      </c>
      <c r="G1083">
        <f>ABS(E1083-F1083)</f>
        <v/>
      </c>
      <c r="H1083">
        <f>IF(G1083=0,"Yes","No")</f>
        <v/>
      </c>
      <c r="I1083" t="inlineStr">
        <is>
          <t>Yes</t>
        </is>
      </c>
      <c r="J1083">
        <f>IF(I1083="","",IF(AND(I1083=C1083,I1083=D1083),"Both",IF(I1083=C1083,"Opus",IF(I1083=D1083,"Sonnet","Neither"))))</f>
        <v/>
      </c>
    </row>
    <row r="1084">
      <c r="A1084" t="inlineStr">
        <is>
          <t>R311</t>
        </is>
      </c>
      <c r="B1084" t="inlineStr">
        <is>
          <t>Q3</t>
        </is>
      </c>
      <c r="C1084" t="inlineStr">
        <is>
          <t>Yes</t>
        </is>
      </c>
      <c r="D1084" t="inlineStr">
        <is>
          <t>Yes</t>
        </is>
      </c>
      <c r="E1084">
        <f>VLOOKUP(C1084,CategoryMap,2,0)</f>
        <v/>
      </c>
      <c r="F1084">
        <f>VLOOKUP(D1084,CategoryMap,2,0)</f>
        <v/>
      </c>
      <c r="G1084">
        <f>ABS(E1084-F1084)</f>
        <v/>
      </c>
      <c r="H1084">
        <f>IF(G1084=0,"Yes","No")</f>
        <v/>
      </c>
      <c r="I1084" t="inlineStr">
        <is>
          <t>Yes</t>
        </is>
      </c>
      <c r="J1084">
        <f>IF(I1084="","",IF(AND(I1084=C1084,I1084=D1084),"Both",IF(I1084=C1084,"Opus",IF(I1084=D1084,"Sonnet","Neither"))))</f>
        <v/>
      </c>
    </row>
    <row r="1085">
      <c r="A1085" t="inlineStr">
        <is>
          <t>R311</t>
        </is>
      </c>
      <c r="B1085" t="inlineStr">
        <is>
          <t>Q4</t>
        </is>
      </c>
      <c r="C1085" t="inlineStr">
        <is>
          <t>No</t>
        </is>
      </c>
      <c r="D1085" t="inlineStr">
        <is>
          <t>No</t>
        </is>
      </c>
      <c r="E1085">
        <f>VLOOKUP(C1085,CategoryMap,2,0)</f>
        <v/>
      </c>
      <c r="F1085">
        <f>VLOOKUP(D1085,CategoryMap,2,0)</f>
        <v/>
      </c>
      <c r="G1085">
        <f>ABS(E1085-F1085)</f>
        <v/>
      </c>
      <c r="H1085">
        <f>IF(G1085=0,"Yes","No")</f>
        <v/>
      </c>
      <c r="I1085" t="inlineStr">
        <is>
          <t>No</t>
        </is>
      </c>
      <c r="J1085">
        <f>IF(I1085="","",IF(AND(I1085=C1085,I1085=D1085),"Both",IF(I1085=C1085,"Opus",IF(I1085=D1085,"Sonnet","Neither"))))</f>
        <v/>
      </c>
    </row>
    <row r="1086">
      <c r="A1086" t="inlineStr">
        <is>
          <t>R311</t>
        </is>
      </c>
      <c r="B1086" t="inlineStr">
        <is>
          <t>Q5</t>
        </is>
      </c>
      <c r="C1086" t="inlineStr">
        <is>
          <t>No</t>
        </is>
      </c>
      <c r="D1086" t="inlineStr">
        <is>
          <t>No</t>
        </is>
      </c>
      <c r="E1086">
        <f>VLOOKUP(C1086,CategoryMap,2,0)</f>
        <v/>
      </c>
      <c r="F1086">
        <f>VLOOKUP(D1086,CategoryMap,2,0)</f>
        <v/>
      </c>
      <c r="G1086">
        <f>ABS(E1086-F1086)</f>
        <v/>
      </c>
      <c r="H1086">
        <f>IF(G1086=0,"Yes","No")</f>
        <v/>
      </c>
      <c r="I1086" t="inlineStr">
        <is>
          <t>No</t>
        </is>
      </c>
      <c r="J1086">
        <f>IF(I1086="","",IF(AND(I1086=C1086,I1086=D1086),"Both",IF(I1086=C1086,"Opus",IF(I1086=D1086,"Sonnet","Neither"))))</f>
        <v/>
      </c>
    </row>
    <row r="1087">
      <c r="A1087" t="inlineStr">
        <is>
          <t>R311</t>
        </is>
      </c>
      <c r="B1087" t="inlineStr">
        <is>
          <t>Q6</t>
        </is>
      </c>
      <c r="C1087" t="inlineStr">
        <is>
          <t>No</t>
        </is>
      </c>
      <c r="D1087" t="inlineStr">
        <is>
          <t>No</t>
        </is>
      </c>
      <c r="E1087">
        <f>VLOOKUP(C1087,CategoryMap,2,0)</f>
        <v/>
      </c>
      <c r="F1087">
        <f>VLOOKUP(D1087,CategoryMap,2,0)</f>
        <v/>
      </c>
      <c r="G1087">
        <f>ABS(E1087-F1087)</f>
        <v/>
      </c>
      <c r="H1087">
        <f>IF(G1087=0,"Yes","No")</f>
        <v/>
      </c>
      <c r="I1087" t="inlineStr">
        <is>
          <t>No</t>
        </is>
      </c>
      <c r="J1087">
        <f>IF(I1087="","",IF(AND(I1087=C1087,I1087=D1087),"Both",IF(I1087=C1087,"Opus",IF(I1087=D1087,"Sonnet","Neither"))))</f>
        <v/>
      </c>
    </row>
    <row r="1088">
      <c r="A1088" t="inlineStr">
        <is>
          <t>R311</t>
        </is>
      </c>
      <c r="B1088" t="inlineStr">
        <is>
          <t>Q7</t>
        </is>
      </c>
      <c r="C1088" t="inlineStr">
        <is>
          <t>Partial</t>
        </is>
      </c>
      <c r="D1088" t="inlineStr">
        <is>
          <t>No</t>
        </is>
      </c>
      <c r="E1088">
        <f>VLOOKUP(C1088,CategoryMap,2,0)</f>
        <v/>
      </c>
      <c r="F1088">
        <f>VLOOKUP(D1088,CategoryMap,2,0)</f>
        <v/>
      </c>
      <c r="G1088">
        <f>ABS(E1088-F1088)</f>
        <v/>
      </c>
      <c r="H1088">
        <f>IF(G1088=0,"Yes","No")</f>
        <v/>
      </c>
      <c r="I1088" t="inlineStr">
        <is>
          <t>No</t>
        </is>
      </c>
      <c r="J1088">
        <f>IF(I1088="","",IF(AND(I1088=C1088,I1088=D1088),"Both",IF(I1088=C1088,"Opus",IF(I1088=D1088,"Sonnet","Neither"))))</f>
        <v/>
      </c>
    </row>
    <row r="1089">
      <c r="A1089" t="inlineStr">
        <is>
          <t>R311</t>
        </is>
      </c>
      <c r="B1089" t="inlineStr">
        <is>
          <t>Q8</t>
        </is>
      </c>
      <c r="C1089" t="inlineStr">
        <is>
          <t>Partial</t>
        </is>
      </c>
      <c r="D1089" t="inlineStr">
        <is>
          <t>No</t>
        </is>
      </c>
      <c r="E1089">
        <f>VLOOKUP(C1089,CategoryMap,2,0)</f>
        <v/>
      </c>
      <c r="F1089">
        <f>VLOOKUP(D1089,CategoryMap,2,0)</f>
        <v/>
      </c>
      <c r="G1089">
        <f>ABS(E1089-F1089)</f>
        <v/>
      </c>
      <c r="H1089">
        <f>IF(G1089=0,"Yes","No")</f>
        <v/>
      </c>
      <c r="I1089" t="inlineStr">
        <is>
          <t>No</t>
        </is>
      </c>
      <c r="J1089">
        <f>IF(I1089="","",IF(AND(I1089=C1089,I1089=D1089),"Both",IF(I1089=C1089,"Opus",IF(I1089=D1089,"Sonnet","Neither"))))</f>
        <v/>
      </c>
    </row>
    <row r="1090">
      <c r="A1090" t="inlineStr">
        <is>
          <t>R312</t>
        </is>
      </c>
      <c r="B1090" t="inlineStr">
        <is>
          <t>Q1</t>
        </is>
      </c>
      <c r="C1090" t="inlineStr">
        <is>
          <t>Partial</t>
        </is>
      </c>
      <c r="D1090" t="inlineStr">
        <is>
          <t>Partial</t>
        </is>
      </c>
      <c r="E1090">
        <f>VLOOKUP(C1090,CategoryMap,2,0)</f>
        <v/>
      </c>
      <c r="F1090">
        <f>VLOOKUP(D1090,CategoryMap,2,0)</f>
        <v/>
      </c>
      <c r="G1090">
        <f>ABS(E1090-F1090)</f>
        <v/>
      </c>
      <c r="H1090">
        <f>IF(G1090=0,"Yes","No")</f>
        <v/>
      </c>
      <c r="I1090" t="inlineStr">
        <is>
          <t>Partial</t>
        </is>
      </c>
      <c r="J1090">
        <f>IF(I1090="","",IF(AND(I1090=C1090,I1090=D1090),"Both",IF(I1090=C1090,"Opus",IF(I1090=D1090,"Sonnet","Neither"))))</f>
        <v/>
      </c>
    </row>
    <row r="1091">
      <c r="A1091" t="inlineStr">
        <is>
          <t>R312</t>
        </is>
      </c>
      <c r="B1091" t="inlineStr">
        <is>
          <t>Q2</t>
        </is>
      </c>
      <c r="C1091" t="inlineStr">
        <is>
          <t>Partial</t>
        </is>
      </c>
      <c r="D1091" t="inlineStr">
        <is>
          <t>Partial</t>
        </is>
      </c>
      <c r="E1091">
        <f>VLOOKUP(C1091,CategoryMap,2,0)</f>
        <v/>
      </c>
      <c r="F1091">
        <f>VLOOKUP(D1091,CategoryMap,2,0)</f>
        <v/>
      </c>
      <c r="G1091">
        <f>ABS(E1091-F1091)</f>
        <v/>
      </c>
      <c r="H1091">
        <f>IF(G1091=0,"Yes","No")</f>
        <v/>
      </c>
      <c r="I1091" t="inlineStr">
        <is>
          <t>Partial</t>
        </is>
      </c>
      <c r="J1091">
        <f>IF(I1091="","",IF(AND(I1091=C1091,I1091=D1091),"Both",IF(I1091=C1091,"Opus",IF(I1091=D1091,"Sonnet","Neither"))))</f>
        <v/>
      </c>
    </row>
    <row r="1092">
      <c r="A1092" t="inlineStr">
        <is>
          <t>R312</t>
        </is>
      </c>
      <c r="B1092" t="inlineStr">
        <is>
          <t>Q3</t>
        </is>
      </c>
      <c r="C1092" t="inlineStr">
        <is>
          <t>Partial</t>
        </is>
      </c>
      <c r="D1092" t="inlineStr">
        <is>
          <t>Partial</t>
        </is>
      </c>
      <c r="E1092">
        <f>VLOOKUP(C1092,CategoryMap,2,0)</f>
        <v/>
      </c>
      <c r="F1092">
        <f>VLOOKUP(D1092,CategoryMap,2,0)</f>
        <v/>
      </c>
      <c r="G1092">
        <f>ABS(E1092-F1092)</f>
        <v/>
      </c>
      <c r="H1092">
        <f>IF(G1092=0,"Yes","No")</f>
        <v/>
      </c>
      <c r="I1092" t="inlineStr">
        <is>
          <t>Partial</t>
        </is>
      </c>
      <c r="J1092">
        <f>IF(I1092="","",IF(AND(I1092=C1092,I1092=D1092),"Both",IF(I1092=C1092,"Opus",IF(I1092=D1092,"Sonnet","Neither"))))</f>
        <v/>
      </c>
    </row>
    <row r="1093">
      <c r="A1093" t="inlineStr">
        <is>
          <t>R312</t>
        </is>
      </c>
      <c r="B1093" t="inlineStr">
        <is>
          <t>Q4</t>
        </is>
      </c>
      <c r="C1093" t="inlineStr">
        <is>
          <t>Partial</t>
        </is>
      </c>
      <c r="D1093" t="inlineStr">
        <is>
          <t>Yes</t>
        </is>
      </c>
      <c r="E1093">
        <f>VLOOKUP(C1093,CategoryMap,2,0)</f>
        <v/>
      </c>
      <c r="F1093">
        <f>VLOOKUP(D1093,CategoryMap,2,0)</f>
        <v/>
      </c>
      <c r="G1093">
        <f>ABS(E1093-F1093)</f>
        <v/>
      </c>
      <c r="H1093">
        <f>IF(G1093=0,"Yes","No")</f>
        <v/>
      </c>
      <c r="I1093" t="inlineStr">
        <is>
          <t>Partial</t>
        </is>
      </c>
      <c r="J1093">
        <f>IF(I1093="","",IF(AND(I1093=C1093,I1093=D1093),"Both",IF(I1093=C1093,"Opus",IF(I1093=D1093,"Sonnet","Neither"))))</f>
        <v/>
      </c>
    </row>
    <row r="1094">
      <c r="A1094" t="inlineStr">
        <is>
          <t>R312</t>
        </is>
      </c>
      <c r="B1094" t="inlineStr">
        <is>
          <t>Q5</t>
        </is>
      </c>
      <c r="C1094" t="inlineStr">
        <is>
          <t>Yes</t>
        </is>
      </c>
      <c r="D1094" t="inlineStr">
        <is>
          <t>Yes</t>
        </is>
      </c>
      <c r="E1094">
        <f>VLOOKUP(C1094,CategoryMap,2,0)</f>
        <v/>
      </c>
      <c r="F1094">
        <f>VLOOKUP(D1094,CategoryMap,2,0)</f>
        <v/>
      </c>
      <c r="G1094">
        <f>ABS(E1094-F1094)</f>
        <v/>
      </c>
      <c r="H1094">
        <f>IF(G1094=0,"Yes","No")</f>
        <v/>
      </c>
      <c r="I1094" t="inlineStr">
        <is>
          <t>Yes</t>
        </is>
      </c>
      <c r="J1094">
        <f>IF(I1094="","",IF(AND(I1094=C1094,I1094=D1094),"Both",IF(I1094=C1094,"Opus",IF(I1094=D1094,"Sonnet","Neither"))))</f>
        <v/>
      </c>
    </row>
    <row r="1095">
      <c r="A1095" t="inlineStr">
        <is>
          <t>R312</t>
        </is>
      </c>
      <c r="B1095" t="inlineStr">
        <is>
          <t>Q6</t>
        </is>
      </c>
      <c r="C1095" t="inlineStr">
        <is>
          <t>Yes</t>
        </is>
      </c>
      <c r="D1095" t="inlineStr">
        <is>
          <t>Yes</t>
        </is>
      </c>
      <c r="E1095">
        <f>VLOOKUP(C1095,CategoryMap,2,0)</f>
        <v/>
      </c>
      <c r="F1095">
        <f>VLOOKUP(D1095,CategoryMap,2,0)</f>
        <v/>
      </c>
      <c r="G1095">
        <f>ABS(E1095-F1095)</f>
        <v/>
      </c>
      <c r="H1095">
        <f>IF(G1095=0,"Yes","No")</f>
        <v/>
      </c>
      <c r="I1095" t="inlineStr">
        <is>
          <t>Yes</t>
        </is>
      </c>
      <c r="J1095">
        <f>IF(I1095="","",IF(AND(I1095=C1095,I1095=D1095),"Both",IF(I1095=C1095,"Opus",IF(I1095=D1095,"Sonnet","Neither"))))</f>
        <v/>
      </c>
    </row>
    <row r="1096">
      <c r="A1096" t="inlineStr">
        <is>
          <t>R312</t>
        </is>
      </c>
      <c r="B1096" t="inlineStr">
        <is>
          <t>Q7</t>
        </is>
      </c>
      <c r="C1096" t="inlineStr">
        <is>
          <t>Yes</t>
        </is>
      </c>
      <c r="D1096" t="inlineStr">
        <is>
          <t>Yes</t>
        </is>
      </c>
      <c r="E1096">
        <f>VLOOKUP(C1096,CategoryMap,2,0)</f>
        <v/>
      </c>
      <c r="F1096">
        <f>VLOOKUP(D1096,CategoryMap,2,0)</f>
        <v/>
      </c>
      <c r="G1096">
        <f>ABS(E1096-F1096)</f>
        <v/>
      </c>
      <c r="H1096">
        <f>IF(G1096=0,"Yes","No")</f>
        <v/>
      </c>
      <c r="I1096" t="inlineStr">
        <is>
          <t>Yes</t>
        </is>
      </c>
      <c r="J1096">
        <f>IF(I1096="","",IF(AND(I1096=C1096,I1096=D1096),"Both",IF(I1096=C1096,"Opus",IF(I1096=D1096,"Sonnet","Neither"))))</f>
        <v/>
      </c>
    </row>
    <row r="1097">
      <c r="A1097" t="inlineStr">
        <is>
          <t>R312</t>
        </is>
      </c>
      <c r="B1097" t="inlineStr">
        <is>
          <t>Q8</t>
        </is>
      </c>
      <c r="C1097" t="inlineStr">
        <is>
          <t>Partial</t>
        </is>
      </c>
      <c r="D1097" t="inlineStr">
        <is>
          <t>No</t>
        </is>
      </c>
      <c r="E1097">
        <f>VLOOKUP(C1097,CategoryMap,2,0)</f>
        <v/>
      </c>
      <c r="F1097">
        <f>VLOOKUP(D1097,CategoryMap,2,0)</f>
        <v/>
      </c>
      <c r="G1097">
        <f>ABS(E1097-F1097)</f>
        <v/>
      </c>
      <c r="H1097">
        <f>IF(G1097=0,"Yes","No")</f>
        <v/>
      </c>
      <c r="I1097" t="inlineStr">
        <is>
          <t>Partial</t>
        </is>
      </c>
      <c r="J1097">
        <f>IF(I1097="","",IF(AND(I1097=C1097,I1097=D1097),"Both",IF(I1097=C1097,"Opus",IF(I1097=D1097,"Sonnet","Neither"))))</f>
        <v/>
      </c>
    </row>
    <row r="1098">
      <c r="A1098" t="inlineStr">
        <is>
          <t>R313</t>
        </is>
      </c>
      <c r="B1098" t="inlineStr">
        <is>
          <t>Q1</t>
        </is>
      </c>
      <c r="C1098" t="inlineStr">
        <is>
          <t>Yes</t>
        </is>
      </c>
      <c r="D1098" t="inlineStr">
        <is>
          <t>Yes</t>
        </is>
      </c>
      <c r="E1098">
        <f>VLOOKUP(C1098,CategoryMap,2,0)</f>
        <v/>
      </c>
      <c r="F1098">
        <f>VLOOKUP(D1098,CategoryMap,2,0)</f>
        <v/>
      </c>
      <c r="G1098">
        <f>ABS(E1098-F1098)</f>
        <v/>
      </c>
      <c r="H1098">
        <f>IF(G1098=0,"Yes","No")</f>
        <v/>
      </c>
      <c r="I1098" t="inlineStr">
        <is>
          <t>Yes</t>
        </is>
      </c>
      <c r="J1098">
        <f>IF(I1098="","",IF(AND(I1098=C1098,I1098=D1098),"Both",IF(I1098=C1098,"Opus",IF(I1098=D1098,"Sonnet","Neither"))))</f>
        <v/>
      </c>
    </row>
    <row r="1099">
      <c r="A1099" t="inlineStr">
        <is>
          <t>R313</t>
        </is>
      </c>
      <c r="B1099" t="inlineStr">
        <is>
          <t>Q2</t>
        </is>
      </c>
      <c r="C1099" t="inlineStr">
        <is>
          <t>Partial</t>
        </is>
      </c>
      <c r="D1099" t="inlineStr">
        <is>
          <t>Partial</t>
        </is>
      </c>
      <c r="E1099">
        <f>VLOOKUP(C1099,CategoryMap,2,0)</f>
        <v/>
      </c>
      <c r="F1099">
        <f>VLOOKUP(D1099,CategoryMap,2,0)</f>
        <v/>
      </c>
      <c r="G1099">
        <f>ABS(E1099-F1099)</f>
        <v/>
      </c>
      <c r="H1099">
        <f>IF(G1099=0,"Yes","No")</f>
        <v/>
      </c>
      <c r="I1099" t="inlineStr">
        <is>
          <t>Partial</t>
        </is>
      </c>
      <c r="J1099">
        <f>IF(I1099="","",IF(AND(I1099=C1099,I1099=D1099),"Both",IF(I1099=C1099,"Opus",IF(I1099=D1099,"Sonnet","Neither"))))</f>
        <v/>
      </c>
    </row>
    <row r="1100">
      <c r="A1100" t="inlineStr">
        <is>
          <t>R313</t>
        </is>
      </c>
      <c r="B1100" t="inlineStr">
        <is>
          <t>Q3</t>
        </is>
      </c>
      <c r="C1100" t="inlineStr">
        <is>
          <t>Yes</t>
        </is>
      </c>
      <c r="D1100" t="inlineStr">
        <is>
          <t>Yes</t>
        </is>
      </c>
      <c r="E1100">
        <f>VLOOKUP(C1100,CategoryMap,2,0)</f>
        <v/>
      </c>
      <c r="F1100">
        <f>VLOOKUP(D1100,CategoryMap,2,0)</f>
        <v/>
      </c>
      <c r="G1100">
        <f>ABS(E1100-F1100)</f>
        <v/>
      </c>
      <c r="H1100">
        <f>IF(G1100=0,"Yes","No")</f>
        <v/>
      </c>
      <c r="I1100" t="inlineStr">
        <is>
          <t>Yes</t>
        </is>
      </c>
      <c r="J1100">
        <f>IF(I1100="","",IF(AND(I1100=C1100,I1100=D1100),"Both",IF(I1100=C1100,"Opus",IF(I1100=D1100,"Sonnet","Neither"))))</f>
        <v/>
      </c>
    </row>
    <row r="1101">
      <c r="A1101" t="inlineStr">
        <is>
          <t>R313</t>
        </is>
      </c>
      <c r="B1101" t="inlineStr">
        <is>
          <t>Q4</t>
        </is>
      </c>
      <c r="C1101" t="inlineStr">
        <is>
          <t>Partial</t>
        </is>
      </c>
      <c r="D1101" t="inlineStr">
        <is>
          <t>Partial</t>
        </is>
      </c>
      <c r="E1101">
        <f>VLOOKUP(C1101,CategoryMap,2,0)</f>
        <v/>
      </c>
      <c r="F1101">
        <f>VLOOKUP(D1101,CategoryMap,2,0)</f>
        <v/>
      </c>
      <c r="G1101">
        <f>ABS(E1101-F1101)</f>
        <v/>
      </c>
      <c r="H1101">
        <f>IF(G1101=0,"Yes","No")</f>
        <v/>
      </c>
      <c r="I1101" t="inlineStr">
        <is>
          <t>Partial</t>
        </is>
      </c>
      <c r="J1101">
        <f>IF(I1101="","",IF(AND(I1101=C1101,I1101=D1101),"Both",IF(I1101=C1101,"Opus",IF(I1101=D1101,"Sonnet","Neither"))))</f>
        <v/>
      </c>
    </row>
    <row r="1102">
      <c r="A1102" t="inlineStr">
        <is>
          <t>R313</t>
        </is>
      </c>
      <c r="B1102" t="inlineStr">
        <is>
          <t>Q5</t>
        </is>
      </c>
      <c r="C1102" t="inlineStr">
        <is>
          <t>Yes</t>
        </is>
      </c>
      <c r="D1102" t="inlineStr">
        <is>
          <t>Yes</t>
        </is>
      </c>
      <c r="E1102">
        <f>VLOOKUP(C1102,CategoryMap,2,0)</f>
        <v/>
      </c>
      <c r="F1102">
        <f>VLOOKUP(D1102,CategoryMap,2,0)</f>
        <v/>
      </c>
      <c r="G1102">
        <f>ABS(E1102-F1102)</f>
        <v/>
      </c>
      <c r="H1102">
        <f>IF(G1102=0,"Yes","No")</f>
        <v/>
      </c>
      <c r="I1102" t="inlineStr">
        <is>
          <t>Yes</t>
        </is>
      </c>
      <c r="J1102">
        <f>IF(I1102="","",IF(AND(I1102=C1102,I1102=D1102),"Both",IF(I1102=C1102,"Opus",IF(I1102=D1102,"Sonnet","Neither"))))</f>
        <v/>
      </c>
    </row>
    <row r="1103">
      <c r="A1103" t="inlineStr">
        <is>
          <t>R313</t>
        </is>
      </c>
      <c r="B1103" t="inlineStr">
        <is>
          <t>Q6</t>
        </is>
      </c>
      <c r="C1103" t="inlineStr">
        <is>
          <t>Yes</t>
        </is>
      </c>
      <c r="D1103" t="inlineStr">
        <is>
          <t>Yes</t>
        </is>
      </c>
      <c r="E1103">
        <f>VLOOKUP(C1103,CategoryMap,2,0)</f>
        <v/>
      </c>
      <c r="F1103">
        <f>VLOOKUP(D1103,CategoryMap,2,0)</f>
        <v/>
      </c>
      <c r="G1103">
        <f>ABS(E1103-F1103)</f>
        <v/>
      </c>
      <c r="H1103">
        <f>IF(G1103=0,"Yes","No")</f>
        <v/>
      </c>
      <c r="I1103" t="inlineStr">
        <is>
          <t>Yes</t>
        </is>
      </c>
      <c r="J1103">
        <f>IF(I1103="","",IF(AND(I1103=C1103,I1103=D1103),"Both",IF(I1103=C1103,"Opus",IF(I1103=D1103,"Sonnet","Neither"))))</f>
        <v/>
      </c>
    </row>
    <row r="1104">
      <c r="A1104" t="inlineStr">
        <is>
          <t>R313</t>
        </is>
      </c>
      <c r="B1104" t="inlineStr">
        <is>
          <t>Q7</t>
        </is>
      </c>
      <c r="C1104" t="inlineStr">
        <is>
          <t>Yes</t>
        </is>
      </c>
      <c r="D1104" t="inlineStr">
        <is>
          <t>Yes</t>
        </is>
      </c>
      <c r="E1104">
        <f>VLOOKUP(C1104,CategoryMap,2,0)</f>
        <v/>
      </c>
      <c r="F1104">
        <f>VLOOKUP(D1104,CategoryMap,2,0)</f>
        <v/>
      </c>
      <c r="G1104">
        <f>ABS(E1104-F1104)</f>
        <v/>
      </c>
      <c r="H1104">
        <f>IF(G1104=0,"Yes","No")</f>
        <v/>
      </c>
      <c r="I1104" t="inlineStr">
        <is>
          <t>Yes</t>
        </is>
      </c>
      <c r="J1104">
        <f>IF(I1104="","",IF(AND(I1104=C1104,I1104=D1104),"Both",IF(I1104=C1104,"Opus",IF(I1104=D1104,"Sonnet","Neither"))))</f>
        <v/>
      </c>
    </row>
    <row r="1105">
      <c r="A1105" t="inlineStr">
        <is>
          <t>R313</t>
        </is>
      </c>
      <c r="B1105" t="inlineStr">
        <is>
          <t>Q8</t>
        </is>
      </c>
      <c r="C1105" t="inlineStr">
        <is>
          <t>Partial</t>
        </is>
      </c>
      <c r="D1105" t="inlineStr">
        <is>
          <t>Partial</t>
        </is>
      </c>
      <c r="E1105">
        <f>VLOOKUP(C1105,CategoryMap,2,0)</f>
        <v/>
      </c>
      <c r="F1105">
        <f>VLOOKUP(D1105,CategoryMap,2,0)</f>
        <v/>
      </c>
      <c r="G1105">
        <f>ABS(E1105-F1105)</f>
        <v/>
      </c>
      <c r="H1105">
        <f>IF(G1105=0,"Yes","No")</f>
        <v/>
      </c>
      <c r="I1105" t="inlineStr">
        <is>
          <t>Partial</t>
        </is>
      </c>
      <c r="J1105">
        <f>IF(I1105="","",IF(AND(I1105=C1105,I1105=D1105),"Both",IF(I1105=C1105,"Opus",IF(I1105=D1105,"Sonnet","Neither"))))</f>
        <v/>
      </c>
    </row>
    <row r="1106">
      <c r="A1106" t="inlineStr">
        <is>
          <t>R314</t>
        </is>
      </c>
      <c r="B1106" t="inlineStr">
        <is>
          <t>Q1</t>
        </is>
      </c>
      <c r="C1106" t="inlineStr">
        <is>
          <t>Partial</t>
        </is>
      </c>
      <c r="D1106" t="inlineStr">
        <is>
          <t>No</t>
        </is>
      </c>
      <c r="E1106">
        <f>VLOOKUP(C1106,CategoryMap,2,0)</f>
        <v/>
      </c>
      <c r="F1106">
        <f>VLOOKUP(D1106,CategoryMap,2,0)</f>
        <v/>
      </c>
      <c r="G1106">
        <f>ABS(E1106-F1106)</f>
        <v/>
      </c>
      <c r="H1106">
        <f>IF(G1106=0,"Yes","No")</f>
        <v/>
      </c>
      <c r="I1106" t="inlineStr">
        <is>
          <t>No</t>
        </is>
      </c>
      <c r="J1106">
        <f>IF(I1106="","",IF(AND(I1106=C1106,I1106=D1106),"Both",IF(I1106=C1106,"Opus",IF(I1106=D1106,"Sonnet","Neither"))))</f>
        <v/>
      </c>
    </row>
    <row r="1107">
      <c r="A1107" t="inlineStr">
        <is>
          <t>R314</t>
        </is>
      </c>
      <c r="B1107" t="inlineStr">
        <is>
          <t>Q2</t>
        </is>
      </c>
      <c r="C1107" t="inlineStr">
        <is>
          <t>Partial</t>
        </is>
      </c>
      <c r="D1107" t="inlineStr">
        <is>
          <t>Partial</t>
        </is>
      </c>
      <c r="E1107">
        <f>VLOOKUP(C1107,CategoryMap,2,0)</f>
        <v/>
      </c>
      <c r="F1107">
        <f>VLOOKUP(D1107,CategoryMap,2,0)</f>
        <v/>
      </c>
      <c r="G1107">
        <f>ABS(E1107-F1107)</f>
        <v/>
      </c>
      <c r="H1107">
        <f>IF(G1107=0,"Yes","No")</f>
        <v/>
      </c>
      <c r="I1107" t="inlineStr">
        <is>
          <t>Partial</t>
        </is>
      </c>
      <c r="J1107">
        <f>IF(I1107="","",IF(AND(I1107=C1107,I1107=D1107),"Both",IF(I1107=C1107,"Opus",IF(I1107=D1107,"Sonnet","Neither"))))</f>
        <v/>
      </c>
    </row>
    <row r="1108">
      <c r="A1108" t="inlineStr">
        <is>
          <t>R314</t>
        </is>
      </c>
      <c r="B1108" t="inlineStr">
        <is>
          <t>Q3</t>
        </is>
      </c>
      <c r="C1108" t="inlineStr">
        <is>
          <t>Yes</t>
        </is>
      </c>
      <c r="D1108" t="inlineStr">
        <is>
          <t>Partial</t>
        </is>
      </c>
      <c r="E1108">
        <f>VLOOKUP(C1108,CategoryMap,2,0)</f>
        <v/>
      </c>
      <c r="F1108">
        <f>VLOOKUP(D1108,CategoryMap,2,0)</f>
        <v/>
      </c>
      <c r="G1108">
        <f>ABS(E1108-F1108)</f>
        <v/>
      </c>
      <c r="H1108">
        <f>IF(G1108=0,"Yes","No")</f>
        <v/>
      </c>
      <c r="I1108" t="inlineStr">
        <is>
          <t>Partial</t>
        </is>
      </c>
      <c r="J1108">
        <f>IF(I1108="","",IF(AND(I1108=C1108,I1108=D1108),"Both",IF(I1108=C1108,"Opus",IF(I1108=D1108,"Sonnet","Neither"))))</f>
        <v/>
      </c>
    </row>
    <row r="1109">
      <c r="A1109" t="inlineStr">
        <is>
          <t>R314</t>
        </is>
      </c>
      <c r="B1109" t="inlineStr">
        <is>
          <t>Q4</t>
        </is>
      </c>
      <c r="C1109" t="inlineStr">
        <is>
          <t>Partial</t>
        </is>
      </c>
      <c r="D1109" t="inlineStr">
        <is>
          <t>Partial</t>
        </is>
      </c>
      <c r="E1109">
        <f>VLOOKUP(C1109,CategoryMap,2,0)</f>
        <v/>
      </c>
      <c r="F1109">
        <f>VLOOKUP(D1109,CategoryMap,2,0)</f>
        <v/>
      </c>
      <c r="G1109">
        <f>ABS(E1109-F1109)</f>
        <v/>
      </c>
      <c r="H1109">
        <f>IF(G1109=0,"Yes","No")</f>
        <v/>
      </c>
      <c r="I1109" t="inlineStr">
        <is>
          <t>Partial</t>
        </is>
      </c>
      <c r="J1109">
        <f>IF(I1109="","",IF(AND(I1109=C1109,I1109=D1109),"Both",IF(I1109=C1109,"Opus",IF(I1109=D1109,"Sonnet","Neither"))))</f>
        <v/>
      </c>
    </row>
    <row r="1110">
      <c r="A1110" t="inlineStr">
        <is>
          <t>R314</t>
        </is>
      </c>
      <c r="B1110" t="inlineStr">
        <is>
          <t>Q5</t>
        </is>
      </c>
      <c r="C1110" t="inlineStr">
        <is>
          <t>Yes</t>
        </is>
      </c>
      <c r="D1110" t="inlineStr">
        <is>
          <t>Yes</t>
        </is>
      </c>
      <c r="E1110">
        <f>VLOOKUP(C1110,CategoryMap,2,0)</f>
        <v/>
      </c>
      <c r="F1110">
        <f>VLOOKUP(D1110,CategoryMap,2,0)</f>
        <v/>
      </c>
      <c r="G1110">
        <f>ABS(E1110-F1110)</f>
        <v/>
      </c>
      <c r="H1110">
        <f>IF(G1110=0,"Yes","No")</f>
        <v/>
      </c>
      <c r="I1110" t="inlineStr">
        <is>
          <t>Yes</t>
        </is>
      </c>
      <c r="J1110">
        <f>IF(I1110="","",IF(AND(I1110=C1110,I1110=D1110),"Both",IF(I1110=C1110,"Opus",IF(I1110=D1110,"Sonnet","Neither"))))</f>
        <v/>
      </c>
    </row>
    <row r="1111">
      <c r="A1111" t="inlineStr">
        <is>
          <t>R314</t>
        </is>
      </c>
      <c r="B1111" t="inlineStr">
        <is>
          <t>Q6</t>
        </is>
      </c>
      <c r="C1111" t="inlineStr">
        <is>
          <t>Yes</t>
        </is>
      </c>
      <c r="D1111" t="inlineStr">
        <is>
          <t>Yes</t>
        </is>
      </c>
      <c r="E1111">
        <f>VLOOKUP(C1111,CategoryMap,2,0)</f>
        <v/>
      </c>
      <c r="F1111">
        <f>VLOOKUP(D1111,CategoryMap,2,0)</f>
        <v/>
      </c>
      <c r="G1111">
        <f>ABS(E1111-F1111)</f>
        <v/>
      </c>
      <c r="H1111">
        <f>IF(G1111=0,"Yes","No")</f>
        <v/>
      </c>
      <c r="I1111" t="inlineStr">
        <is>
          <t>Yes</t>
        </is>
      </c>
      <c r="J1111">
        <f>IF(I1111="","",IF(AND(I1111=C1111,I1111=D1111),"Both",IF(I1111=C1111,"Opus",IF(I1111=D1111,"Sonnet","Neither"))))</f>
        <v/>
      </c>
    </row>
    <row r="1112">
      <c r="A1112" t="inlineStr">
        <is>
          <t>R314</t>
        </is>
      </c>
      <c r="B1112" t="inlineStr">
        <is>
          <t>Q7</t>
        </is>
      </c>
      <c r="C1112" t="inlineStr">
        <is>
          <t>No</t>
        </is>
      </c>
      <c r="D1112" t="inlineStr">
        <is>
          <t>No</t>
        </is>
      </c>
      <c r="E1112">
        <f>VLOOKUP(C1112,CategoryMap,2,0)</f>
        <v/>
      </c>
      <c r="F1112">
        <f>VLOOKUP(D1112,CategoryMap,2,0)</f>
        <v/>
      </c>
      <c r="G1112">
        <f>ABS(E1112-F1112)</f>
        <v/>
      </c>
      <c r="H1112">
        <f>IF(G1112=0,"Yes","No")</f>
        <v/>
      </c>
      <c r="I1112" t="inlineStr">
        <is>
          <t>No</t>
        </is>
      </c>
      <c r="J1112">
        <f>IF(I1112="","",IF(AND(I1112=C1112,I1112=D1112),"Both",IF(I1112=C1112,"Opus",IF(I1112=D1112,"Sonnet","Neither"))))</f>
        <v/>
      </c>
    </row>
    <row r="1113">
      <c r="A1113" t="inlineStr">
        <is>
          <t>R314</t>
        </is>
      </c>
      <c r="B1113" t="inlineStr">
        <is>
          <t>Q8</t>
        </is>
      </c>
      <c r="C1113" t="inlineStr">
        <is>
          <t>Partial</t>
        </is>
      </c>
      <c r="D1113" t="inlineStr">
        <is>
          <t>No</t>
        </is>
      </c>
      <c r="E1113">
        <f>VLOOKUP(C1113,CategoryMap,2,0)</f>
        <v/>
      </c>
      <c r="F1113">
        <f>VLOOKUP(D1113,CategoryMap,2,0)</f>
        <v/>
      </c>
      <c r="G1113">
        <f>ABS(E1113-F1113)</f>
        <v/>
      </c>
      <c r="H1113">
        <f>IF(G1113=0,"Yes","No")</f>
        <v/>
      </c>
      <c r="I1113" t="inlineStr">
        <is>
          <t>No</t>
        </is>
      </c>
      <c r="J1113">
        <f>IF(I1113="","",IF(AND(I1113=C1113,I1113=D1113),"Both",IF(I1113=C1113,"Opus",IF(I1113=D1113,"Sonnet","Neither"))))</f>
        <v/>
      </c>
    </row>
    <row r="1114">
      <c r="A1114" t="inlineStr">
        <is>
          <t>R315</t>
        </is>
      </c>
      <c r="B1114" t="inlineStr">
        <is>
          <t>Q1</t>
        </is>
      </c>
      <c r="C1114" t="inlineStr">
        <is>
          <t>Yes</t>
        </is>
      </c>
      <c r="D1114" t="inlineStr">
        <is>
          <t>Yes</t>
        </is>
      </c>
      <c r="E1114">
        <f>VLOOKUP(C1114,CategoryMap,2,0)</f>
        <v/>
      </c>
      <c r="F1114">
        <f>VLOOKUP(D1114,CategoryMap,2,0)</f>
        <v/>
      </c>
      <c r="G1114">
        <f>ABS(E1114-F1114)</f>
        <v/>
      </c>
      <c r="H1114">
        <f>IF(G1114=0,"Yes","No")</f>
        <v/>
      </c>
      <c r="I1114" t="inlineStr">
        <is>
          <t>Yes</t>
        </is>
      </c>
      <c r="J1114">
        <f>IF(I1114="","",IF(AND(I1114=C1114,I1114=D1114),"Both",IF(I1114=C1114,"Opus",IF(I1114=D1114,"Sonnet","Neither"))))</f>
        <v/>
      </c>
    </row>
    <row r="1115">
      <c r="A1115" t="inlineStr">
        <is>
          <t>R315</t>
        </is>
      </c>
      <c r="B1115" t="inlineStr">
        <is>
          <t>Q2</t>
        </is>
      </c>
      <c r="C1115" t="inlineStr">
        <is>
          <t>Yes</t>
        </is>
      </c>
      <c r="D1115" t="inlineStr">
        <is>
          <t>Yes</t>
        </is>
      </c>
      <c r="E1115">
        <f>VLOOKUP(C1115,CategoryMap,2,0)</f>
        <v/>
      </c>
      <c r="F1115">
        <f>VLOOKUP(D1115,CategoryMap,2,0)</f>
        <v/>
      </c>
      <c r="G1115">
        <f>ABS(E1115-F1115)</f>
        <v/>
      </c>
      <c r="H1115">
        <f>IF(G1115=0,"Yes","No")</f>
        <v/>
      </c>
      <c r="I1115" t="inlineStr">
        <is>
          <t>Yes</t>
        </is>
      </c>
      <c r="J1115">
        <f>IF(I1115="","",IF(AND(I1115=C1115,I1115=D1115),"Both",IF(I1115=C1115,"Opus",IF(I1115=D1115,"Sonnet","Neither"))))</f>
        <v/>
      </c>
    </row>
    <row r="1116">
      <c r="A1116" t="inlineStr">
        <is>
          <t>R315</t>
        </is>
      </c>
      <c r="B1116" t="inlineStr">
        <is>
          <t>Q3</t>
        </is>
      </c>
      <c r="C1116" t="inlineStr">
        <is>
          <t>Yes</t>
        </is>
      </c>
      <c r="D1116" t="inlineStr">
        <is>
          <t>Yes</t>
        </is>
      </c>
      <c r="E1116">
        <f>VLOOKUP(C1116,CategoryMap,2,0)</f>
        <v/>
      </c>
      <c r="F1116">
        <f>VLOOKUP(D1116,CategoryMap,2,0)</f>
        <v/>
      </c>
      <c r="G1116">
        <f>ABS(E1116-F1116)</f>
        <v/>
      </c>
      <c r="H1116">
        <f>IF(G1116=0,"Yes","No")</f>
        <v/>
      </c>
      <c r="I1116" t="inlineStr">
        <is>
          <t>Yes</t>
        </is>
      </c>
      <c r="J1116">
        <f>IF(I1116="","",IF(AND(I1116=C1116,I1116=D1116),"Both",IF(I1116=C1116,"Opus",IF(I1116=D1116,"Sonnet","Neither"))))</f>
        <v/>
      </c>
    </row>
    <row r="1117">
      <c r="A1117" t="inlineStr">
        <is>
          <t>R315</t>
        </is>
      </c>
      <c r="B1117" t="inlineStr">
        <is>
          <t>Q4</t>
        </is>
      </c>
      <c r="C1117" t="inlineStr">
        <is>
          <t>Partial</t>
        </is>
      </c>
      <c r="D1117" t="inlineStr">
        <is>
          <t>Yes</t>
        </is>
      </c>
      <c r="E1117">
        <f>VLOOKUP(C1117,CategoryMap,2,0)</f>
        <v/>
      </c>
      <c r="F1117">
        <f>VLOOKUP(D1117,CategoryMap,2,0)</f>
        <v/>
      </c>
      <c r="G1117">
        <f>ABS(E1117-F1117)</f>
        <v/>
      </c>
      <c r="H1117">
        <f>IF(G1117=0,"Yes","No")</f>
        <v/>
      </c>
      <c r="I1117" t="inlineStr">
        <is>
          <t>Partial</t>
        </is>
      </c>
      <c r="J1117">
        <f>IF(I1117="","",IF(AND(I1117=C1117,I1117=D1117),"Both",IF(I1117=C1117,"Opus",IF(I1117=D1117,"Sonnet","Neither"))))</f>
        <v/>
      </c>
    </row>
    <row r="1118">
      <c r="A1118" t="inlineStr">
        <is>
          <t>R315</t>
        </is>
      </c>
      <c r="B1118" t="inlineStr">
        <is>
          <t>Q5</t>
        </is>
      </c>
      <c r="C1118" t="inlineStr">
        <is>
          <t>Yes</t>
        </is>
      </c>
      <c r="D1118" t="inlineStr">
        <is>
          <t>Yes</t>
        </is>
      </c>
      <c r="E1118">
        <f>VLOOKUP(C1118,CategoryMap,2,0)</f>
        <v/>
      </c>
      <c r="F1118">
        <f>VLOOKUP(D1118,CategoryMap,2,0)</f>
        <v/>
      </c>
      <c r="G1118">
        <f>ABS(E1118-F1118)</f>
        <v/>
      </c>
      <c r="H1118">
        <f>IF(G1118=0,"Yes","No")</f>
        <v/>
      </c>
      <c r="I1118" t="inlineStr">
        <is>
          <t>Yes</t>
        </is>
      </c>
      <c r="J1118">
        <f>IF(I1118="","",IF(AND(I1118=C1118,I1118=D1118),"Both",IF(I1118=C1118,"Opus",IF(I1118=D1118,"Sonnet","Neither"))))</f>
        <v/>
      </c>
    </row>
    <row r="1119">
      <c r="A1119" t="inlineStr">
        <is>
          <t>R315</t>
        </is>
      </c>
      <c r="B1119" t="inlineStr">
        <is>
          <t>Q6</t>
        </is>
      </c>
      <c r="C1119" t="inlineStr">
        <is>
          <t>Yes</t>
        </is>
      </c>
      <c r="D1119" t="inlineStr">
        <is>
          <t>Yes</t>
        </is>
      </c>
      <c r="E1119">
        <f>VLOOKUP(C1119,CategoryMap,2,0)</f>
        <v/>
      </c>
      <c r="F1119">
        <f>VLOOKUP(D1119,CategoryMap,2,0)</f>
        <v/>
      </c>
      <c r="G1119">
        <f>ABS(E1119-F1119)</f>
        <v/>
      </c>
      <c r="H1119">
        <f>IF(G1119=0,"Yes","No")</f>
        <v/>
      </c>
      <c r="I1119" t="inlineStr">
        <is>
          <t>Yes</t>
        </is>
      </c>
      <c r="J1119">
        <f>IF(I1119="","",IF(AND(I1119=C1119,I1119=D1119),"Both",IF(I1119=C1119,"Opus",IF(I1119=D1119,"Sonnet","Neither"))))</f>
        <v/>
      </c>
    </row>
    <row r="1120">
      <c r="A1120" t="inlineStr">
        <is>
          <t>R315</t>
        </is>
      </c>
      <c r="B1120" t="inlineStr">
        <is>
          <t>Q7</t>
        </is>
      </c>
      <c r="C1120" t="inlineStr">
        <is>
          <t>Yes</t>
        </is>
      </c>
      <c r="D1120" t="inlineStr">
        <is>
          <t>Yes</t>
        </is>
      </c>
      <c r="E1120">
        <f>VLOOKUP(C1120,CategoryMap,2,0)</f>
        <v/>
      </c>
      <c r="F1120">
        <f>VLOOKUP(D1120,CategoryMap,2,0)</f>
        <v/>
      </c>
      <c r="G1120">
        <f>ABS(E1120-F1120)</f>
        <v/>
      </c>
      <c r="H1120">
        <f>IF(G1120=0,"Yes","No")</f>
        <v/>
      </c>
      <c r="I1120" t="inlineStr">
        <is>
          <t>Yes</t>
        </is>
      </c>
      <c r="J1120">
        <f>IF(I1120="","",IF(AND(I1120=C1120,I1120=D1120),"Both",IF(I1120=C1120,"Opus",IF(I1120=D1120,"Sonnet","Neither"))))</f>
        <v/>
      </c>
    </row>
    <row r="1121">
      <c r="A1121" t="inlineStr">
        <is>
          <t>R315</t>
        </is>
      </c>
      <c r="B1121" t="inlineStr">
        <is>
          <t>Q8</t>
        </is>
      </c>
      <c r="C1121" t="inlineStr">
        <is>
          <t>Partial</t>
        </is>
      </c>
      <c r="D1121" t="inlineStr">
        <is>
          <t>Partial</t>
        </is>
      </c>
      <c r="E1121">
        <f>VLOOKUP(C1121,CategoryMap,2,0)</f>
        <v/>
      </c>
      <c r="F1121">
        <f>VLOOKUP(D1121,CategoryMap,2,0)</f>
        <v/>
      </c>
      <c r="G1121">
        <f>ABS(E1121-F1121)</f>
        <v/>
      </c>
      <c r="H1121">
        <f>IF(G1121=0,"Yes","No")</f>
        <v/>
      </c>
      <c r="I1121" t="inlineStr">
        <is>
          <t>No</t>
        </is>
      </c>
      <c r="J1121">
        <f>IF(I1121="","",IF(AND(I1121=C1121,I1121=D1121),"Both",IF(I1121=C1121,"Opus",IF(I1121=D1121,"Sonnet","Neither"))))</f>
        <v/>
      </c>
    </row>
    <row r="1122">
      <c r="A1122" t="inlineStr">
        <is>
          <t>R317</t>
        </is>
      </c>
      <c r="B1122" t="inlineStr">
        <is>
          <t>Q1</t>
        </is>
      </c>
      <c r="C1122" t="inlineStr">
        <is>
          <t>Yes</t>
        </is>
      </c>
      <c r="D1122" t="inlineStr">
        <is>
          <t>Partial</t>
        </is>
      </c>
      <c r="E1122">
        <f>VLOOKUP(C1122,CategoryMap,2,0)</f>
        <v/>
      </c>
      <c r="F1122">
        <f>VLOOKUP(D1122,CategoryMap,2,0)</f>
        <v/>
      </c>
      <c r="G1122">
        <f>ABS(E1122-F1122)</f>
        <v/>
      </c>
      <c r="H1122">
        <f>IF(G1122=0,"Yes","No")</f>
        <v/>
      </c>
      <c r="I1122" t="inlineStr">
        <is>
          <t>Yes</t>
        </is>
      </c>
      <c r="J1122">
        <f>IF(I1122="","",IF(AND(I1122=C1122,I1122=D1122),"Both",IF(I1122=C1122,"Opus",IF(I1122=D1122,"Sonnet","Neither"))))</f>
        <v/>
      </c>
    </row>
    <row r="1123">
      <c r="A1123" t="inlineStr">
        <is>
          <t>R317</t>
        </is>
      </c>
      <c r="B1123" t="inlineStr">
        <is>
          <t>Q2</t>
        </is>
      </c>
      <c r="C1123" t="inlineStr">
        <is>
          <t>Yes</t>
        </is>
      </c>
      <c r="D1123" t="inlineStr">
        <is>
          <t>Yes</t>
        </is>
      </c>
      <c r="E1123">
        <f>VLOOKUP(C1123,CategoryMap,2,0)</f>
        <v/>
      </c>
      <c r="F1123">
        <f>VLOOKUP(D1123,CategoryMap,2,0)</f>
        <v/>
      </c>
      <c r="G1123">
        <f>ABS(E1123-F1123)</f>
        <v/>
      </c>
      <c r="H1123">
        <f>IF(G1123=0,"Yes","No")</f>
        <v/>
      </c>
      <c r="I1123" t="inlineStr">
        <is>
          <t>Yes</t>
        </is>
      </c>
      <c r="J1123">
        <f>IF(I1123="","",IF(AND(I1123=C1123,I1123=D1123),"Both",IF(I1123=C1123,"Opus",IF(I1123=D1123,"Sonnet","Neither"))))</f>
        <v/>
      </c>
    </row>
    <row r="1124">
      <c r="A1124" t="inlineStr">
        <is>
          <t>R317</t>
        </is>
      </c>
      <c r="B1124" t="inlineStr">
        <is>
          <t>Q3</t>
        </is>
      </c>
      <c r="C1124" t="inlineStr">
        <is>
          <t>Yes</t>
        </is>
      </c>
      <c r="D1124" t="inlineStr">
        <is>
          <t>Yes</t>
        </is>
      </c>
      <c r="E1124">
        <f>VLOOKUP(C1124,CategoryMap,2,0)</f>
        <v/>
      </c>
      <c r="F1124">
        <f>VLOOKUP(D1124,CategoryMap,2,0)</f>
        <v/>
      </c>
      <c r="G1124">
        <f>ABS(E1124-F1124)</f>
        <v/>
      </c>
      <c r="H1124">
        <f>IF(G1124=0,"Yes","No")</f>
        <v/>
      </c>
      <c r="I1124" t="inlineStr">
        <is>
          <t>Yes</t>
        </is>
      </c>
      <c r="J1124">
        <f>IF(I1124="","",IF(AND(I1124=C1124,I1124=D1124),"Both",IF(I1124=C1124,"Opus",IF(I1124=D1124,"Sonnet","Neither"))))</f>
        <v/>
      </c>
    </row>
    <row r="1125">
      <c r="A1125" t="inlineStr">
        <is>
          <t>R317</t>
        </is>
      </c>
      <c r="B1125" t="inlineStr">
        <is>
          <t>Q4</t>
        </is>
      </c>
      <c r="C1125" t="inlineStr">
        <is>
          <t>No</t>
        </is>
      </c>
      <c r="D1125" t="inlineStr">
        <is>
          <t>No</t>
        </is>
      </c>
      <c r="E1125">
        <f>VLOOKUP(C1125,CategoryMap,2,0)</f>
        <v/>
      </c>
      <c r="F1125">
        <f>VLOOKUP(D1125,CategoryMap,2,0)</f>
        <v/>
      </c>
      <c r="G1125">
        <f>ABS(E1125-F1125)</f>
        <v/>
      </c>
      <c r="H1125">
        <f>IF(G1125=0,"Yes","No")</f>
        <v/>
      </c>
      <c r="I1125" t="inlineStr">
        <is>
          <t>No</t>
        </is>
      </c>
      <c r="J1125">
        <f>IF(I1125="","",IF(AND(I1125=C1125,I1125=D1125),"Both",IF(I1125=C1125,"Opus",IF(I1125=D1125,"Sonnet","Neither"))))</f>
        <v/>
      </c>
    </row>
    <row r="1126">
      <c r="A1126" t="inlineStr">
        <is>
          <t>R317</t>
        </is>
      </c>
      <c r="B1126" t="inlineStr">
        <is>
          <t>Q5</t>
        </is>
      </c>
      <c r="C1126" t="inlineStr">
        <is>
          <t>No</t>
        </is>
      </c>
      <c r="D1126" t="inlineStr">
        <is>
          <t>No</t>
        </is>
      </c>
      <c r="E1126">
        <f>VLOOKUP(C1126,CategoryMap,2,0)</f>
        <v/>
      </c>
      <c r="F1126">
        <f>VLOOKUP(D1126,CategoryMap,2,0)</f>
        <v/>
      </c>
      <c r="G1126">
        <f>ABS(E1126-F1126)</f>
        <v/>
      </c>
      <c r="H1126">
        <f>IF(G1126=0,"Yes","No")</f>
        <v/>
      </c>
      <c r="I1126" t="inlineStr">
        <is>
          <t>No</t>
        </is>
      </c>
      <c r="J1126">
        <f>IF(I1126="","",IF(AND(I1126=C1126,I1126=D1126),"Both",IF(I1126=C1126,"Opus",IF(I1126=D1126,"Sonnet","Neither"))))</f>
        <v/>
      </c>
    </row>
    <row r="1127">
      <c r="A1127" t="inlineStr">
        <is>
          <t>R317</t>
        </is>
      </c>
      <c r="B1127" t="inlineStr">
        <is>
          <t>Q6</t>
        </is>
      </c>
      <c r="C1127" t="inlineStr">
        <is>
          <t>No</t>
        </is>
      </c>
      <c r="D1127" t="inlineStr">
        <is>
          <t>No</t>
        </is>
      </c>
      <c r="E1127">
        <f>VLOOKUP(C1127,CategoryMap,2,0)</f>
        <v/>
      </c>
      <c r="F1127">
        <f>VLOOKUP(D1127,CategoryMap,2,0)</f>
        <v/>
      </c>
      <c r="G1127">
        <f>ABS(E1127-F1127)</f>
        <v/>
      </c>
      <c r="H1127">
        <f>IF(G1127=0,"Yes","No")</f>
        <v/>
      </c>
      <c r="I1127" t="inlineStr">
        <is>
          <t>No</t>
        </is>
      </c>
      <c r="J1127">
        <f>IF(I1127="","",IF(AND(I1127=C1127,I1127=D1127),"Both",IF(I1127=C1127,"Opus",IF(I1127=D1127,"Sonnet","Neither"))))</f>
        <v/>
      </c>
    </row>
    <row r="1128">
      <c r="A1128" t="inlineStr">
        <is>
          <t>R317</t>
        </is>
      </c>
      <c r="B1128" t="inlineStr">
        <is>
          <t>Q7</t>
        </is>
      </c>
      <c r="C1128" t="inlineStr">
        <is>
          <t>Partial</t>
        </is>
      </c>
      <c r="D1128" t="inlineStr">
        <is>
          <t>No</t>
        </is>
      </c>
      <c r="E1128">
        <f>VLOOKUP(C1128,CategoryMap,2,0)</f>
        <v/>
      </c>
      <c r="F1128">
        <f>VLOOKUP(D1128,CategoryMap,2,0)</f>
        <v/>
      </c>
      <c r="G1128">
        <f>ABS(E1128-F1128)</f>
        <v/>
      </c>
      <c r="H1128">
        <f>IF(G1128=0,"Yes","No")</f>
        <v/>
      </c>
      <c r="I1128" t="inlineStr">
        <is>
          <t>No</t>
        </is>
      </c>
      <c r="J1128">
        <f>IF(I1128="","",IF(AND(I1128=C1128,I1128=D1128),"Both",IF(I1128=C1128,"Opus",IF(I1128=D1128,"Sonnet","Neither"))))</f>
        <v/>
      </c>
    </row>
    <row r="1129">
      <c r="A1129" t="inlineStr">
        <is>
          <t>R317</t>
        </is>
      </c>
      <c r="B1129" t="inlineStr">
        <is>
          <t>Q8</t>
        </is>
      </c>
      <c r="C1129" t="inlineStr">
        <is>
          <t>Partial</t>
        </is>
      </c>
      <c r="D1129" t="inlineStr">
        <is>
          <t>Partial</t>
        </is>
      </c>
      <c r="E1129">
        <f>VLOOKUP(C1129,CategoryMap,2,0)</f>
        <v/>
      </c>
      <c r="F1129">
        <f>VLOOKUP(D1129,CategoryMap,2,0)</f>
        <v/>
      </c>
      <c r="G1129">
        <f>ABS(E1129-F1129)</f>
        <v/>
      </c>
      <c r="H1129">
        <f>IF(G1129=0,"Yes","No")</f>
        <v/>
      </c>
      <c r="I1129" t="inlineStr">
        <is>
          <t>Partial</t>
        </is>
      </c>
      <c r="J1129">
        <f>IF(I1129="","",IF(AND(I1129=C1129,I1129=D1129),"Both",IF(I1129=C1129,"Opus",IF(I1129=D1129,"Sonnet","Neither"))))</f>
        <v/>
      </c>
    </row>
    <row r="1130">
      <c r="A1130" t="inlineStr">
        <is>
          <t>R319</t>
        </is>
      </c>
      <c r="B1130" t="inlineStr">
        <is>
          <t>Q1</t>
        </is>
      </c>
      <c r="C1130" t="inlineStr">
        <is>
          <t>Yes</t>
        </is>
      </c>
      <c r="D1130" t="inlineStr">
        <is>
          <t>Partial</t>
        </is>
      </c>
      <c r="E1130">
        <f>VLOOKUP(C1130,CategoryMap,2,0)</f>
        <v/>
      </c>
      <c r="F1130">
        <f>VLOOKUP(D1130,CategoryMap,2,0)</f>
        <v/>
      </c>
      <c r="G1130">
        <f>ABS(E1130-F1130)</f>
        <v/>
      </c>
      <c r="H1130">
        <f>IF(G1130=0,"Yes","No")</f>
        <v/>
      </c>
      <c r="I1130" t="inlineStr">
        <is>
          <t>Yes</t>
        </is>
      </c>
      <c r="J1130">
        <f>IF(I1130="","",IF(AND(I1130=C1130,I1130=D1130),"Both",IF(I1130=C1130,"Opus",IF(I1130=D1130,"Sonnet","Neither"))))</f>
        <v/>
      </c>
    </row>
    <row r="1131">
      <c r="A1131" t="inlineStr">
        <is>
          <t>R319</t>
        </is>
      </c>
      <c r="B1131" t="inlineStr">
        <is>
          <t>Q2</t>
        </is>
      </c>
      <c r="C1131" t="inlineStr">
        <is>
          <t>Yes</t>
        </is>
      </c>
      <c r="D1131" t="inlineStr">
        <is>
          <t>Partial</t>
        </is>
      </c>
      <c r="E1131">
        <f>VLOOKUP(C1131,CategoryMap,2,0)</f>
        <v/>
      </c>
      <c r="F1131">
        <f>VLOOKUP(D1131,CategoryMap,2,0)</f>
        <v/>
      </c>
      <c r="G1131">
        <f>ABS(E1131-F1131)</f>
        <v/>
      </c>
      <c r="H1131">
        <f>IF(G1131=0,"Yes","No")</f>
        <v/>
      </c>
      <c r="I1131" t="inlineStr">
        <is>
          <t>Partial</t>
        </is>
      </c>
      <c r="J1131">
        <f>IF(I1131="","",IF(AND(I1131=C1131,I1131=D1131),"Both",IF(I1131=C1131,"Opus",IF(I1131=D1131,"Sonnet","Neither"))))</f>
        <v/>
      </c>
    </row>
    <row r="1132">
      <c r="A1132" t="inlineStr">
        <is>
          <t>R319</t>
        </is>
      </c>
      <c r="B1132" t="inlineStr">
        <is>
          <t>Q3</t>
        </is>
      </c>
      <c r="C1132" t="inlineStr">
        <is>
          <t>Yes</t>
        </is>
      </c>
      <c r="D1132" t="inlineStr">
        <is>
          <t>Yes</t>
        </is>
      </c>
      <c r="E1132">
        <f>VLOOKUP(C1132,CategoryMap,2,0)</f>
        <v/>
      </c>
      <c r="F1132">
        <f>VLOOKUP(D1132,CategoryMap,2,0)</f>
        <v/>
      </c>
      <c r="G1132">
        <f>ABS(E1132-F1132)</f>
        <v/>
      </c>
      <c r="H1132">
        <f>IF(G1132=0,"Yes","No")</f>
        <v/>
      </c>
      <c r="I1132" t="inlineStr">
        <is>
          <t>Yes</t>
        </is>
      </c>
      <c r="J1132">
        <f>IF(I1132="","",IF(AND(I1132=C1132,I1132=D1132),"Both",IF(I1132=C1132,"Opus",IF(I1132=D1132,"Sonnet","Neither"))))</f>
        <v/>
      </c>
    </row>
    <row r="1133">
      <c r="A1133" t="inlineStr">
        <is>
          <t>R319</t>
        </is>
      </c>
      <c r="B1133" t="inlineStr">
        <is>
          <t>Q4</t>
        </is>
      </c>
      <c r="C1133" t="inlineStr">
        <is>
          <t>Partial</t>
        </is>
      </c>
      <c r="D1133" t="inlineStr">
        <is>
          <t>Yes</t>
        </is>
      </c>
      <c r="E1133">
        <f>VLOOKUP(C1133,CategoryMap,2,0)</f>
        <v/>
      </c>
      <c r="F1133">
        <f>VLOOKUP(D1133,CategoryMap,2,0)</f>
        <v/>
      </c>
      <c r="G1133">
        <f>ABS(E1133-F1133)</f>
        <v/>
      </c>
      <c r="H1133">
        <f>IF(G1133=0,"Yes","No")</f>
        <v/>
      </c>
      <c r="I1133" t="inlineStr">
        <is>
          <t>Partial</t>
        </is>
      </c>
      <c r="J1133">
        <f>IF(I1133="","",IF(AND(I1133=C1133,I1133=D1133),"Both",IF(I1133=C1133,"Opus",IF(I1133=D1133,"Sonnet","Neither"))))</f>
        <v/>
      </c>
    </row>
    <row r="1134">
      <c r="A1134" t="inlineStr">
        <is>
          <t>R319</t>
        </is>
      </c>
      <c r="B1134" t="inlineStr">
        <is>
          <t>Q5</t>
        </is>
      </c>
      <c r="C1134" t="inlineStr">
        <is>
          <t>Partial</t>
        </is>
      </c>
      <c r="D1134" t="inlineStr">
        <is>
          <t>No</t>
        </is>
      </c>
      <c r="E1134">
        <f>VLOOKUP(C1134,CategoryMap,2,0)</f>
        <v/>
      </c>
      <c r="F1134">
        <f>VLOOKUP(D1134,CategoryMap,2,0)</f>
        <v/>
      </c>
      <c r="G1134">
        <f>ABS(E1134-F1134)</f>
        <v/>
      </c>
      <c r="H1134">
        <f>IF(G1134=0,"Yes","No")</f>
        <v/>
      </c>
      <c r="I1134" t="inlineStr">
        <is>
          <t>No</t>
        </is>
      </c>
      <c r="J1134">
        <f>IF(I1134="","",IF(AND(I1134=C1134,I1134=D1134),"Both",IF(I1134=C1134,"Opus",IF(I1134=D1134,"Sonnet","Neither"))))</f>
        <v/>
      </c>
    </row>
    <row r="1135">
      <c r="A1135" t="inlineStr">
        <is>
          <t>R319</t>
        </is>
      </c>
      <c r="B1135" t="inlineStr">
        <is>
          <t>Q6</t>
        </is>
      </c>
      <c r="C1135" t="inlineStr">
        <is>
          <t>No</t>
        </is>
      </c>
      <c r="D1135" t="inlineStr">
        <is>
          <t>No</t>
        </is>
      </c>
      <c r="E1135">
        <f>VLOOKUP(C1135,CategoryMap,2,0)</f>
        <v/>
      </c>
      <c r="F1135">
        <f>VLOOKUP(D1135,CategoryMap,2,0)</f>
        <v/>
      </c>
      <c r="G1135">
        <f>ABS(E1135-F1135)</f>
        <v/>
      </c>
      <c r="H1135">
        <f>IF(G1135=0,"Yes","No")</f>
        <v/>
      </c>
      <c r="I1135" t="inlineStr">
        <is>
          <t>No</t>
        </is>
      </c>
      <c r="J1135">
        <f>IF(I1135="","",IF(AND(I1135=C1135,I1135=D1135),"Both",IF(I1135=C1135,"Opus",IF(I1135=D1135,"Sonnet","Neither"))))</f>
        <v/>
      </c>
    </row>
    <row r="1136">
      <c r="A1136" t="inlineStr">
        <is>
          <t>R319</t>
        </is>
      </c>
      <c r="B1136" t="inlineStr">
        <is>
          <t>Q7</t>
        </is>
      </c>
      <c r="C1136" t="inlineStr">
        <is>
          <t>Partial</t>
        </is>
      </c>
      <c r="D1136" t="inlineStr">
        <is>
          <t>Yes</t>
        </is>
      </c>
      <c r="E1136">
        <f>VLOOKUP(C1136,CategoryMap,2,0)</f>
        <v/>
      </c>
      <c r="F1136">
        <f>VLOOKUP(D1136,CategoryMap,2,0)</f>
        <v/>
      </c>
      <c r="G1136">
        <f>ABS(E1136-F1136)</f>
        <v/>
      </c>
      <c r="H1136">
        <f>IF(G1136=0,"Yes","No")</f>
        <v/>
      </c>
      <c r="I1136" t="inlineStr">
        <is>
          <t>Yes</t>
        </is>
      </c>
      <c r="J1136">
        <f>IF(I1136="","",IF(AND(I1136=C1136,I1136=D1136),"Both",IF(I1136=C1136,"Opus",IF(I1136=D1136,"Sonnet","Neither"))))</f>
        <v/>
      </c>
    </row>
    <row r="1137">
      <c r="A1137" t="inlineStr">
        <is>
          <t>R319</t>
        </is>
      </c>
      <c r="B1137" t="inlineStr">
        <is>
          <t>Q8</t>
        </is>
      </c>
      <c r="C1137" t="inlineStr">
        <is>
          <t>Yes</t>
        </is>
      </c>
      <c r="D1137" t="inlineStr">
        <is>
          <t>Partial</t>
        </is>
      </c>
      <c r="E1137">
        <f>VLOOKUP(C1137,CategoryMap,2,0)</f>
        <v/>
      </c>
      <c r="F1137">
        <f>VLOOKUP(D1137,CategoryMap,2,0)</f>
        <v/>
      </c>
      <c r="G1137">
        <f>ABS(E1137-F1137)</f>
        <v/>
      </c>
      <c r="H1137">
        <f>IF(G1137=0,"Yes","No")</f>
        <v/>
      </c>
      <c r="I1137" t="inlineStr">
        <is>
          <t>Yes</t>
        </is>
      </c>
      <c r="J1137">
        <f>IF(I1137="","",IF(AND(I1137=C1137,I1137=D1137),"Both",IF(I1137=C1137,"Opus",IF(I1137=D1137,"Sonnet","Neither"))))</f>
        <v/>
      </c>
    </row>
    <row r="1138">
      <c r="A1138" t="inlineStr">
        <is>
          <t>R321</t>
        </is>
      </c>
      <c r="B1138" t="inlineStr">
        <is>
          <t>Q1</t>
        </is>
      </c>
      <c r="C1138" t="inlineStr">
        <is>
          <t>Partial</t>
        </is>
      </c>
      <c r="D1138" t="inlineStr">
        <is>
          <t>No</t>
        </is>
      </c>
      <c r="E1138">
        <f>VLOOKUP(C1138,CategoryMap,2,0)</f>
        <v/>
      </c>
      <c r="F1138">
        <f>VLOOKUP(D1138,CategoryMap,2,0)</f>
        <v/>
      </c>
      <c r="G1138">
        <f>ABS(E1138-F1138)</f>
        <v/>
      </c>
      <c r="H1138">
        <f>IF(G1138=0,"Yes","No")</f>
        <v/>
      </c>
      <c r="I1138" t="inlineStr">
        <is>
          <t>No</t>
        </is>
      </c>
      <c r="J1138">
        <f>IF(I1138="","",IF(AND(I1138=C1138,I1138=D1138),"Both",IF(I1138=C1138,"Opus",IF(I1138=D1138,"Sonnet","Neither"))))</f>
        <v/>
      </c>
    </row>
    <row r="1139">
      <c r="A1139" t="inlineStr">
        <is>
          <t>R321</t>
        </is>
      </c>
      <c r="B1139" t="inlineStr">
        <is>
          <t>Q2</t>
        </is>
      </c>
      <c r="C1139" t="inlineStr">
        <is>
          <t>Partial</t>
        </is>
      </c>
      <c r="D1139" t="inlineStr">
        <is>
          <t>No</t>
        </is>
      </c>
      <c r="E1139">
        <f>VLOOKUP(C1139,CategoryMap,2,0)</f>
        <v/>
      </c>
      <c r="F1139">
        <f>VLOOKUP(D1139,CategoryMap,2,0)</f>
        <v/>
      </c>
      <c r="G1139">
        <f>ABS(E1139-F1139)</f>
        <v/>
      </c>
      <c r="H1139">
        <f>IF(G1139=0,"Yes","No")</f>
        <v/>
      </c>
      <c r="I1139" t="inlineStr">
        <is>
          <t>No</t>
        </is>
      </c>
      <c r="J1139">
        <f>IF(I1139="","",IF(AND(I1139=C1139,I1139=D1139),"Both",IF(I1139=C1139,"Opus",IF(I1139=D1139,"Sonnet","Neither"))))</f>
        <v/>
      </c>
    </row>
    <row r="1140">
      <c r="A1140" t="inlineStr">
        <is>
          <t>R321</t>
        </is>
      </c>
      <c r="B1140" t="inlineStr">
        <is>
          <t>Q3</t>
        </is>
      </c>
      <c r="C1140" t="inlineStr">
        <is>
          <t>Partial</t>
        </is>
      </c>
      <c r="D1140" t="inlineStr">
        <is>
          <t>Partial</t>
        </is>
      </c>
      <c r="E1140">
        <f>VLOOKUP(C1140,CategoryMap,2,0)</f>
        <v/>
      </c>
      <c r="F1140">
        <f>VLOOKUP(D1140,CategoryMap,2,0)</f>
        <v/>
      </c>
      <c r="G1140">
        <f>ABS(E1140-F1140)</f>
        <v/>
      </c>
      <c r="H1140">
        <f>IF(G1140=0,"Yes","No")</f>
        <v/>
      </c>
      <c r="I1140" t="inlineStr">
        <is>
          <t>Partial</t>
        </is>
      </c>
      <c r="J1140">
        <f>IF(I1140="","",IF(AND(I1140=C1140,I1140=D1140),"Both",IF(I1140=C1140,"Opus",IF(I1140=D1140,"Sonnet","Neither"))))</f>
        <v/>
      </c>
    </row>
    <row r="1141">
      <c r="A1141" t="inlineStr">
        <is>
          <t>R321</t>
        </is>
      </c>
      <c r="B1141" t="inlineStr">
        <is>
          <t>Q4</t>
        </is>
      </c>
      <c r="C1141" t="inlineStr">
        <is>
          <t>Partial</t>
        </is>
      </c>
      <c r="D1141" t="inlineStr">
        <is>
          <t>Yes</t>
        </is>
      </c>
      <c r="E1141">
        <f>VLOOKUP(C1141,CategoryMap,2,0)</f>
        <v/>
      </c>
      <c r="F1141">
        <f>VLOOKUP(D1141,CategoryMap,2,0)</f>
        <v/>
      </c>
      <c r="G1141">
        <f>ABS(E1141-F1141)</f>
        <v/>
      </c>
      <c r="H1141">
        <f>IF(G1141=0,"Yes","No")</f>
        <v/>
      </c>
      <c r="I1141" t="inlineStr">
        <is>
          <t>Yes</t>
        </is>
      </c>
      <c r="J1141">
        <f>IF(I1141="","",IF(AND(I1141=C1141,I1141=D1141),"Both",IF(I1141=C1141,"Opus",IF(I1141=D1141,"Sonnet","Neither"))))</f>
        <v/>
      </c>
    </row>
    <row r="1142">
      <c r="A1142" t="inlineStr">
        <is>
          <t>R321</t>
        </is>
      </c>
      <c r="B1142" t="inlineStr">
        <is>
          <t>Q5</t>
        </is>
      </c>
      <c r="C1142" t="inlineStr">
        <is>
          <t>Yes</t>
        </is>
      </c>
      <c r="D1142" t="inlineStr">
        <is>
          <t>Yes</t>
        </is>
      </c>
      <c r="E1142">
        <f>VLOOKUP(C1142,CategoryMap,2,0)</f>
        <v/>
      </c>
      <c r="F1142">
        <f>VLOOKUP(D1142,CategoryMap,2,0)</f>
        <v/>
      </c>
      <c r="G1142">
        <f>ABS(E1142-F1142)</f>
        <v/>
      </c>
      <c r="H1142">
        <f>IF(G1142=0,"Yes","No")</f>
        <v/>
      </c>
      <c r="I1142" t="inlineStr">
        <is>
          <t>Yes</t>
        </is>
      </c>
      <c r="J1142">
        <f>IF(I1142="","",IF(AND(I1142=C1142,I1142=D1142),"Both",IF(I1142=C1142,"Opus",IF(I1142=D1142,"Sonnet","Neither"))))</f>
        <v/>
      </c>
    </row>
    <row r="1143">
      <c r="A1143" t="inlineStr">
        <is>
          <t>R321</t>
        </is>
      </c>
      <c r="B1143" t="inlineStr">
        <is>
          <t>Q6</t>
        </is>
      </c>
      <c r="C1143" t="inlineStr">
        <is>
          <t>Yes</t>
        </is>
      </c>
      <c r="D1143" t="inlineStr">
        <is>
          <t>Yes</t>
        </is>
      </c>
      <c r="E1143">
        <f>VLOOKUP(C1143,CategoryMap,2,0)</f>
        <v/>
      </c>
      <c r="F1143">
        <f>VLOOKUP(D1143,CategoryMap,2,0)</f>
        <v/>
      </c>
      <c r="G1143">
        <f>ABS(E1143-F1143)</f>
        <v/>
      </c>
      <c r="H1143">
        <f>IF(G1143=0,"Yes","No")</f>
        <v/>
      </c>
      <c r="I1143" t="inlineStr">
        <is>
          <t>Yes</t>
        </is>
      </c>
      <c r="J1143">
        <f>IF(I1143="","",IF(AND(I1143=C1143,I1143=D1143),"Both",IF(I1143=C1143,"Opus",IF(I1143=D1143,"Sonnet","Neither"))))</f>
        <v/>
      </c>
    </row>
    <row r="1144">
      <c r="A1144" t="inlineStr">
        <is>
          <t>R321</t>
        </is>
      </c>
      <c r="B1144" t="inlineStr">
        <is>
          <t>Q7</t>
        </is>
      </c>
      <c r="C1144" t="inlineStr">
        <is>
          <t>Partial</t>
        </is>
      </c>
      <c r="D1144" t="inlineStr">
        <is>
          <t>Yes</t>
        </is>
      </c>
      <c r="E1144">
        <f>VLOOKUP(C1144,CategoryMap,2,0)</f>
        <v/>
      </c>
      <c r="F1144">
        <f>VLOOKUP(D1144,CategoryMap,2,0)</f>
        <v/>
      </c>
      <c r="G1144">
        <f>ABS(E1144-F1144)</f>
        <v/>
      </c>
      <c r="H1144">
        <f>IF(G1144=0,"Yes","No")</f>
        <v/>
      </c>
      <c r="I1144" t="inlineStr">
        <is>
          <t>Partial</t>
        </is>
      </c>
      <c r="J1144">
        <f>IF(I1144="","",IF(AND(I1144=C1144,I1144=D1144),"Both",IF(I1144=C1144,"Opus",IF(I1144=D1144,"Sonnet","Neither"))))</f>
        <v/>
      </c>
    </row>
    <row r="1145">
      <c r="A1145" t="inlineStr">
        <is>
          <t>R321</t>
        </is>
      </c>
      <c r="B1145" t="inlineStr">
        <is>
          <t>Q8</t>
        </is>
      </c>
      <c r="C1145" t="inlineStr">
        <is>
          <t>Partial</t>
        </is>
      </c>
      <c r="D1145" t="inlineStr">
        <is>
          <t>No</t>
        </is>
      </c>
      <c r="E1145">
        <f>VLOOKUP(C1145,CategoryMap,2,0)</f>
        <v/>
      </c>
      <c r="F1145">
        <f>VLOOKUP(D1145,CategoryMap,2,0)</f>
        <v/>
      </c>
      <c r="G1145">
        <f>ABS(E1145-F1145)</f>
        <v/>
      </c>
      <c r="H1145">
        <f>IF(G1145=0,"Yes","No")</f>
        <v/>
      </c>
      <c r="I1145" t="inlineStr">
        <is>
          <t>No</t>
        </is>
      </c>
      <c r="J1145">
        <f>IF(I1145="","",IF(AND(I1145=C1145,I1145=D1145),"Both",IF(I1145=C1145,"Opus",IF(I1145=D1145,"Sonnet","Neither"))))</f>
        <v/>
      </c>
    </row>
    <row r="1146">
      <c r="A1146" t="inlineStr">
        <is>
          <t>R322</t>
        </is>
      </c>
      <c r="B1146" t="inlineStr">
        <is>
          <t>Q1</t>
        </is>
      </c>
      <c r="C1146" t="inlineStr">
        <is>
          <t>Yes</t>
        </is>
      </c>
      <c r="D1146" t="inlineStr">
        <is>
          <t>Yes</t>
        </is>
      </c>
      <c r="E1146">
        <f>VLOOKUP(C1146,CategoryMap,2,0)</f>
        <v/>
      </c>
      <c r="F1146">
        <f>VLOOKUP(D1146,CategoryMap,2,0)</f>
        <v/>
      </c>
      <c r="G1146">
        <f>ABS(E1146-F1146)</f>
        <v/>
      </c>
      <c r="H1146">
        <f>IF(G1146=0,"Yes","No")</f>
        <v/>
      </c>
      <c r="I1146" t="inlineStr">
        <is>
          <t>Yes</t>
        </is>
      </c>
      <c r="J1146">
        <f>IF(I1146="","",IF(AND(I1146=C1146,I1146=D1146),"Both",IF(I1146=C1146,"Opus",IF(I1146=D1146,"Sonnet","Neither"))))</f>
        <v/>
      </c>
    </row>
    <row r="1147">
      <c r="A1147" t="inlineStr">
        <is>
          <t>R322</t>
        </is>
      </c>
      <c r="B1147" t="inlineStr">
        <is>
          <t>Q2</t>
        </is>
      </c>
      <c r="C1147" t="inlineStr">
        <is>
          <t>Partial</t>
        </is>
      </c>
      <c r="D1147" t="inlineStr">
        <is>
          <t>Partial</t>
        </is>
      </c>
      <c r="E1147">
        <f>VLOOKUP(C1147,CategoryMap,2,0)</f>
        <v/>
      </c>
      <c r="F1147">
        <f>VLOOKUP(D1147,CategoryMap,2,0)</f>
        <v/>
      </c>
      <c r="G1147">
        <f>ABS(E1147-F1147)</f>
        <v/>
      </c>
      <c r="H1147">
        <f>IF(G1147=0,"Yes","No")</f>
        <v/>
      </c>
      <c r="I1147" t="inlineStr">
        <is>
          <t>Partial</t>
        </is>
      </c>
      <c r="J1147">
        <f>IF(I1147="","",IF(AND(I1147=C1147,I1147=D1147),"Both",IF(I1147=C1147,"Opus",IF(I1147=D1147,"Sonnet","Neither"))))</f>
        <v/>
      </c>
    </row>
    <row r="1148">
      <c r="A1148" t="inlineStr">
        <is>
          <t>R322</t>
        </is>
      </c>
      <c r="B1148" t="inlineStr">
        <is>
          <t>Q3</t>
        </is>
      </c>
      <c r="C1148" t="inlineStr">
        <is>
          <t>Yes</t>
        </is>
      </c>
      <c r="D1148" t="inlineStr">
        <is>
          <t>Yes</t>
        </is>
      </c>
      <c r="E1148">
        <f>VLOOKUP(C1148,CategoryMap,2,0)</f>
        <v/>
      </c>
      <c r="F1148">
        <f>VLOOKUP(D1148,CategoryMap,2,0)</f>
        <v/>
      </c>
      <c r="G1148">
        <f>ABS(E1148-F1148)</f>
        <v/>
      </c>
      <c r="H1148">
        <f>IF(G1148=0,"Yes","No")</f>
        <v/>
      </c>
      <c r="I1148" t="inlineStr">
        <is>
          <t>Yes</t>
        </is>
      </c>
      <c r="J1148">
        <f>IF(I1148="","",IF(AND(I1148=C1148,I1148=D1148),"Both",IF(I1148=C1148,"Opus",IF(I1148=D1148,"Sonnet","Neither"))))</f>
        <v/>
      </c>
    </row>
    <row r="1149">
      <c r="A1149" t="inlineStr">
        <is>
          <t>R322</t>
        </is>
      </c>
      <c r="B1149" t="inlineStr">
        <is>
          <t>Q4</t>
        </is>
      </c>
      <c r="C1149" t="inlineStr">
        <is>
          <t>No</t>
        </is>
      </c>
      <c r="D1149" t="inlineStr">
        <is>
          <t>Partial</t>
        </is>
      </c>
      <c r="E1149">
        <f>VLOOKUP(C1149,CategoryMap,2,0)</f>
        <v/>
      </c>
      <c r="F1149">
        <f>VLOOKUP(D1149,CategoryMap,2,0)</f>
        <v/>
      </c>
      <c r="G1149">
        <f>ABS(E1149-F1149)</f>
        <v/>
      </c>
      <c r="H1149">
        <f>IF(G1149=0,"Yes","No")</f>
        <v/>
      </c>
      <c r="I1149" t="inlineStr">
        <is>
          <t>No</t>
        </is>
      </c>
      <c r="J1149">
        <f>IF(I1149="","",IF(AND(I1149=C1149,I1149=D1149),"Both",IF(I1149=C1149,"Opus",IF(I1149=D1149,"Sonnet","Neither"))))</f>
        <v/>
      </c>
    </row>
    <row r="1150">
      <c r="A1150" t="inlineStr">
        <is>
          <t>R322</t>
        </is>
      </c>
      <c r="B1150" t="inlineStr">
        <is>
          <t>Q5</t>
        </is>
      </c>
      <c r="C1150" t="inlineStr">
        <is>
          <t>Partial</t>
        </is>
      </c>
      <c r="D1150" t="inlineStr">
        <is>
          <t>Partial</t>
        </is>
      </c>
      <c r="E1150">
        <f>VLOOKUP(C1150,CategoryMap,2,0)</f>
        <v/>
      </c>
      <c r="F1150">
        <f>VLOOKUP(D1150,CategoryMap,2,0)</f>
        <v/>
      </c>
      <c r="G1150">
        <f>ABS(E1150-F1150)</f>
        <v/>
      </c>
      <c r="H1150">
        <f>IF(G1150=0,"Yes","No")</f>
        <v/>
      </c>
      <c r="I1150" t="inlineStr">
        <is>
          <t>Partial</t>
        </is>
      </c>
      <c r="J1150">
        <f>IF(I1150="","",IF(AND(I1150=C1150,I1150=D1150),"Both",IF(I1150=C1150,"Opus",IF(I1150=D1150,"Sonnet","Neither"))))</f>
        <v/>
      </c>
    </row>
    <row r="1151">
      <c r="A1151" t="inlineStr">
        <is>
          <t>R322</t>
        </is>
      </c>
      <c r="B1151" t="inlineStr">
        <is>
          <t>Q6</t>
        </is>
      </c>
      <c r="C1151" t="inlineStr">
        <is>
          <t>Partial</t>
        </is>
      </c>
      <c r="D1151" t="inlineStr">
        <is>
          <t>Partial</t>
        </is>
      </c>
      <c r="E1151">
        <f>VLOOKUP(C1151,CategoryMap,2,0)</f>
        <v/>
      </c>
      <c r="F1151">
        <f>VLOOKUP(D1151,CategoryMap,2,0)</f>
        <v/>
      </c>
      <c r="G1151">
        <f>ABS(E1151-F1151)</f>
        <v/>
      </c>
      <c r="H1151">
        <f>IF(G1151=0,"Yes","No")</f>
        <v/>
      </c>
      <c r="I1151" t="inlineStr">
        <is>
          <t>Partial</t>
        </is>
      </c>
      <c r="J1151">
        <f>IF(I1151="","",IF(AND(I1151=C1151,I1151=D1151),"Both",IF(I1151=C1151,"Opus",IF(I1151=D1151,"Sonnet","Neither"))))</f>
        <v/>
      </c>
    </row>
    <row r="1152">
      <c r="A1152" t="inlineStr">
        <is>
          <t>R322</t>
        </is>
      </c>
      <c r="B1152" t="inlineStr">
        <is>
          <t>Q7</t>
        </is>
      </c>
      <c r="C1152" t="inlineStr">
        <is>
          <t>Partial</t>
        </is>
      </c>
      <c r="D1152" t="inlineStr">
        <is>
          <t>Partial</t>
        </is>
      </c>
      <c r="E1152">
        <f>VLOOKUP(C1152,CategoryMap,2,0)</f>
        <v/>
      </c>
      <c r="F1152">
        <f>VLOOKUP(D1152,CategoryMap,2,0)</f>
        <v/>
      </c>
      <c r="G1152">
        <f>ABS(E1152-F1152)</f>
        <v/>
      </c>
      <c r="H1152">
        <f>IF(G1152=0,"Yes","No")</f>
        <v/>
      </c>
      <c r="I1152" t="inlineStr">
        <is>
          <t>Partial</t>
        </is>
      </c>
      <c r="J1152">
        <f>IF(I1152="","",IF(AND(I1152=C1152,I1152=D1152),"Both",IF(I1152=C1152,"Opus",IF(I1152=D1152,"Sonnet","Neither"))))</f>
        <v/>
      </c>
    </row>
    <row r="1153">
      <c r="A1153" t="inlineStr">
        <is>
          <t>R322</t>
        </is>
      </c>
      <c r="B1153" t="inlineStr">
        <is>
          <t>Q8</t>
        </is>
      </c>
      <c r="C1153" t="inlineStr">
        <is>
          <t>Partial</t>
        </is>
      </c>
      <c r="D1153" t="inlineStr">
        <is>
          <t>Partial</t>
        </is>
      </c>
      <c r="E1153">
        <f>VLOOKUP(C1153,CategoryMap,2,0)</f>
        <v/>
      </c>
      <c r="F1153">
        <f>VLOOKUP(D1153,CategoryMap,2,0)</f>
        <v/>
      </c>
      <c r="G1153">
        <f>ABS(E1153-F1153)</f>
        <v/>
      </c>
      <c r="H1153">
        <f>IF(G1153=0,"Yes","No")</f>
        <v/>
      </c>
      <c r="I1153" t="inlineStr">
        <is>
          <t>Partial</t>
        </is>
      </c>
      <c r="J1153">
        <f>IF(I1153="","",IF(AND(I1153=C1153,I1153=D1153),"Both",IF(I1153=C1153,"Opus",IF(I1153=D1153,"Sonnet","Neither"))))</f>
        <v/>
      </c>
    </row>
    <row r="1154">
      <c r="A1154" t="inlineStr">
        <is>
          <t>R325</t>
        </is>
      </c>
      <c r="B1154" t="inlineStr">
        <is>
          <t>Q1</t>
        </is>
      </c>
      <c r="C1154" t="inlineStr">
        <is>
          <t>Partial</t>
        </is>
      </c>
      <c r="D1154" t="inlineStr">
        <is>
          <t>Partial</t>
        </is>
      </c>
      <c r="E1154">
        <f>VLOOKUP(C1154,CategoryMap,2,0)</f>
        <v/>
      </c>
      <c r="F1154">
        <f>VLOOKUP(D1154,CategoryMap,2,0)</f>
        <v/>
      </c>
      <c r="G1154">
        <f>ABS(E1154-F1154)</f>
        <v/>
      </c>
      <c r="H1154">
        <f>IF(G1154=0,"Yes","No")</f>
        <v/>
      </c>
      <c r="I1154" t="inlineStr">
        <is>
          <t>Partial</t>
        </is>
      </c>
      <c r="J1154">
        <f>IF(I1154="","",IF(AND(I1154=C1154,I1154=D1154),"Both",IF(I1154=C1154,"Opus",IF(I1154=D1154,"Sonnet","Neither"))))</f>
        <v/>
      </c>
    </row>
    <row r="1155">
      <c r="A1155" t="inlineStr">
        <is>
          <t>R325</t>
        </is>
      </c>
      <c r="B1155" t="inlineStr">
        <is>
          <t>Q2</t>
        </is>
      </c>
      <c r="C1155" t="inlineStr">
        <is>
          <t>Partial</t>
        </is>
      </c>
      <c r="D1155" t="inlineStr">
        <is>
          <t>Partial</t>
        </is>
      </c>
      <c r="E1155">
        <f>VLOOKUP(C1155,CategoryMap,2,0)</f>
        <v/>
      </c>
      <c r="F1155">
        <f>VLOOKUP(D1155,CategoryMap,2,0)</f>
        <v/>
      </c>
      <c r="G1155">
        <f>ABS(E1155-F1155)</f>
        <v/>
      </c>
      <c r="H1155">
        <f>IF(G1155=0,"Yes","No")</f>
        <v/>
      </c>
      <c r="I1155" t="inlineStr">
        <is>
          <t>Partial</t>
        </is>
      </c>
      <c r="J1155">
        <f>IF(I1155="","",IF(AND(I1155=C1155,I1155=D1155),"Both",IF(I1155=C1155,"Opus",IF(I1155=D1155,"Sonnet","Neither"))))</f>
        <v/>
      </c>
    </row>
    <row r="1156">
      <c r="A1156" t="inlineStr">
        <is>
          <t>R325</t>
        </is>
      </c>
      <c r="B1156" t="inlineStr">
        <is>
          <t>Q3</t>
        </is>
      </c>
      <c r="C1156" t="inlineStr">
        <is>
          <t>Yes</t>
        </is>
      </c>
      <c r="D1156" t="inlineStr">
        <is>
          <t>Partial</t>
        </is>
      </c>
      <c r="E1156">
        <f>VLOOKUP(C1156,CategoryMap,2,0)</f>
        <v/>
      </c>
      <c r="F1156">
        <f>VLOOKUP(D1156,CategoryMap,2,0)</f>
        <v/>
      </c>
      <c r="G1156">
        <f>ABS(E1156-F1156)</f>
        <v/>
      </c>
      <c r="H1156">
        <f>IF(G1156=0,"Yes","No")</f>
        <v/>
      </c>
      <c r="I1156" t="inlineStr">
        <is>
          <t>Partial</t>
        </is>
      </c>
      <c r="J1156">
        <f>IF(I1156="","",IF(AND(I1156=C1156,I1156=D1156),"Both",IF(I1156=C1156,"Opus",IF(I1156=D1156,"Sonnet","Neither"))))</f>
        <v/>
      </c>
    </row>
    <row r="1157">
      <c r="A1157" t="inlineStr">
        <is>
          <t>R325</t>
        </is>
      </c>
      <c r="B1157" t="inlineStr">
        <is>
          <t>Q4</t>
        </is>
      </c>
      <c r="C1157" t="inlineStr">
        <is>
          <t>Yes</t>
        </is>
      </c>
      <c r="D1157" t="inlineStr">
        <is>
          <t>Yes</t>
        </is>
      </c>
      <c r="E1157">
        <f>VLOOKUP(C1157,CategoryMap,2,0)</f>
        <v/>
      </c>
      <c r="F1157">
        <f>VLOOKUP(D1157,CategoryMap,2,0)</f>
        <v/>
      </c>
      <c r="G1157">
        <f>ABS(E1157-F1157)</f>
        <v/>
      </c>
      <c r="H1157">
        <f>IF(G1157=0,"Yes","No")</f>
        <v/>
      </c>
      <c r="I1157" t="inlineStr">
        <is>
          <t>Yes</t>
        </is>
      </c>
      <c r="J1157">
        <f>IF(I1157="","",IF(AND(I1157=C1157,I1157=D1157),"Both",IF(I1157=C1157,"Opus",IF(I1157=D1157,"Sonnet","Neither"))))</f>
        <v/>
      </c>
    </row>
    <row r="1158">
      <c r="A1158" t="inlineStr">
        <is>
          <t>R325</t>
        </is>
      </c>
      <c r="B1158" t="inlineStr">
        <is>
          <t>Q5</t>
        </is>
      </c>
      <c r="C1158" t="inlineStr">
        <is>
          <t>Yes</t>
        </is>
      </c>
      <c r="D1158" t="inlineStr">
        <is>
          <t>Yes</t>
        </is>
      </c>
      <c r="E1158">
        <f>VLOOKUP(C1158,CategoryMap,2,0)</f>
        <v/>
      </c>
      <c r="F1158">
        <f>VLOOKUP(D1158,CategoryMap,2,0)</f>
        <v/>
      </c>
      <c r="G1158">
        <f>ABS(E1158-F1158)</f>
        <v/>
      </c>
      <c r="H1158">
        <f>IF(G1158=0,"Yes","No")</f>
        <v/>
      </c>
      <c r="I1158" t="inlineStr">
        <is>
          <t>Yes</t>
        </is>
      </c>
      <c r="J1158">
        <f>IF(I1158="","",IF(AND(I1158=C1158,I1158=D1158),"Both",IF(I1158=C1158,"Opus",IF(I1158=D1158,"Sonnet","Neither"))))</f>
        <v/>
      </c>
    </row>
    <row r="1159">
      <c r="A1159" t="inlineStr">
        <is>
          <t>R325</t>
        </is>
      </c>
      <c r="B1159" t="inlineStr">
        <is>
          <t>Q6</t>
        </is>
      </c>
      <c r="C1159" t="inlineStr">
        <is>
          <t>Yes</t>
        </is>
      </c>
      <c r="D1159" t="inlineStr">
        <is>
          <t>Yes</t>
        </is>
      </c>
      <c r="E1159">
        <f>VLOOKUP(C1159,CategoryMap,2,0)</f>
        <v/>
      </c>
      <c r="F1159">
        <f>VLOOKUP(D1159,CategoryMap,2,0)</f>
        <v/>
      </c>
      <c r="G1159">
        <f>ABS(E1159-F1159)</f>
        <v/>
      </c>
      <c r="H1159">
        <f>IF(G1159=0,"Yes","No")</f>
        <v/>
      </c>
      <c r="I1159" t="inlineStr">
        <is>
          <t>Yes</t>
        </is>
      </c>
      <c r="J1159">
        <f>IF(I1159="","",IF(AND(I1159=C1159,I1159=D1159),"Both",IF(I1159=C1159,"Opus",IF(I1159=D1159,"Sonnet","Neither"))))</f>
        <v/>
      </c>
    </row>
    <row r="1160">
      <c r="A1160" t="inlineStr">
        <is>
          <t>R325</t>
        </is>
      </c>
      <c r="B1160" t="inlineStr">
        <is>
          <t>Q7</t>
        </is>
      </c>
      <c r="C1160" t="inlineStr">
        <is>
          <t>Yes</t>
        </is>
      </c>
      <c r="D1160" t="inlineStr">
        <is>
          <t>Yes</t>
        </is>
      </c>
      <c r="E1160">
        <f>VLOOKUP(C1160,CategoryMap,2,0)</f>
        <v/>
      </c>
      <c r="F1160">
        <f>VLOOKUP(D1160,CategoryMap,2,0)</f>
        <v/>
      </c>
      <c r="G1160">
        <f>ABS(E1160-F1160)</f>
        <v/>
      </c>
      <c r="H1160">
        <f>IF(G1160=0,"Yes","No")</f>
        <v/>
      </c>
      <c r="I1160" t="inlineStr">
        <is>
          <t>Yes</t>
        </is>
      </c>
      <c r="J1160">
        <f>IF(I1160="","",IF(AND(I1160=C1160,I1160=D1160),"Both",IF(I1160=C1160,"Opus",IF(I1160=D1160,"Sonnet","Neither"))))</f>
        <v/>
      </c>
    </row>
    <row r="1161">
      <c r="A1161" t="inlineStr">
        <is>
          <t>R325</t>
        </is>
      </c>
      <c r="B1161" t="inlineStr">
        <is>
          <t>Q8</t>
        </is>
      </c>
      <c r="C1161" t="inlineStr">
        <is>
          <t>Partial</t>
        </is>
      </c>
      <c r="D1161" t="inlineStr">
        <is>
          <t>No</t>
        </is>
      </c>
      <c r="E1161">
        <f>VLOOKUP(C1161,CategoryMap,2,0)</f>
        <v/>
      </c>
      <c r="F1161">
        <f>VLOOKUP(D1161,CategoryMap,2,0)</f>
        <v/>
      </c>
      <c r="G1161">
        <f>ABS(E1161-F1161)</f>
        <v/>
      </c>
      <c r="H1161">
        <f>IF(G1161=0,"Yes","No")</f>
        <v/>
      </c>
      <c r="I1161" t="inlineStr">
        <is>
          <t>Partial</t>
        </is>
      </c>
      <c r="J1161">
        <f>IF(I1161="","",IF(AND(I1161=C1161,I1161=D1161),"Both",IF(I1161=C1161,"Opus",IF(I1161=D1161,"Sonnet","Neither"))))</f>
        <v/>
      </c>
    </row>
    <row r="1162">
      <c r="A1162" t="inlineStr">
        <is>
          <t>R326</t>
        </is>
      </c>
      <c r="B1162" t="inlineStr">
        <is>
          <t>Q1</t>
        </is>
      </c>
      <c r="C1162" t="inlineStr">
        <is>
          <t>Yes</t>
        </is>
      </c>
      <c r="D1162" t="inlineStr">
        <is>
          <t>Yes</t>
        </is>
      </c>
      <c r="E1162">
        <f>VLOOKUP(C1162,CategoryMap,2,0)</f>
        <v/>
      </c>
      <c r="F1162">
        <f>VLOOKUP(D1162,CategoryMap,2,0)</f>
        <v/>
      </c>
      <c r="G1162">
        <f>ABS(E1162-F1162)</f>
        <v/>
      </c>
      <c r="H1162">
        <f>IF(G1162=0,"Yes","No")</f>
        <v/>
      </c>
      <c r="I1162" t="inlineStr">
        <is>
          <t>Yes</t>
        </is>
      </c>
      <c r="J1162">
        <f>IF(I1162="","",IF(AND(I1162=C1162,I1162=D1162),"Both",IF(I1162=C1162,"Opus",IF(I1162=D1162,"Sonnet","Neither"))))</f>
        <v/>
      </c>
    </row>
    <row r="1163">
      <c r="A1163" t="inlineStr">
        <is>
          <t>R326</t>
        </is>
      </c>
      <c r="B1163" t="inlineStr">
        <is>
          <t>Q2</t>
        </is>
      </c>
      <c r="C1163" t="inlineStr">
        <is>
          <t>Partial</t>
        </is>
      </c>
      <c r="D1163" t="inlineStr">
        <is>
          <t>Partial</t>
        </is>
      </c>
      <c r="E1163">
        <f>VLOOKUP(C1163,CategoryMap,2,0)</f>
        <v/>
      </c>
      <c r="F1163">
        <f>VLOOKUP(D1163,CategoryMap,2,0)</f>
        <v/>
      </c>
      <c r="G1163">
        <f>ABS(E1163-F1163)</f>
        <v/>
      </c>
      <c r="H1163">
        <f>IF(G1163=0,"Yes","No")</f>
        <v/>
      </c>
      <c r="I1163" t="inlineStr">
        <is>
          <t>Partial</t>
        </is>
      </c>
      <c r="J1163">
        <f>IF(I1163="","",IF(AND(I1163=C1163,I1163=D1163),"Both",IF(I1163=C1163,"Opus",IF(I1163=D1163,"Sonnet","Neither"))))</f>
        <v/>
      </c>
    </row>
    <row r="1164">
      <c r="A1164" t="inlineStr">
        <is>
          <t>R326</t>
        </is>
      </c>
      <c r="B1164" t="inlineStr">
        <is>
          <t>Q3</t>
        </is>
      </c>
      <c r="C1164" t="inlineStr">
        <is>
          <t>Yes</t>
        </is>
      </c>
      <c r="D1164" t="inlineStr">
        <is>
          <t>Yes</t>
        </is>
      </c>
      <c r="E1164">
        <f>VLOOKUP(C1164,CategoryMap,2,0)</f>
        <v/>
      </c>
      <c r="F1164">
        <f>VLOOKUP(D1164,CategoryMap,2,0)</f>
        <v/>
      </c>
      <c r="G1164">
        <f>ABS(E1164-F1164)</f>
        <v/>
      </c>
      <c r="H1164">
        <f>IF(G1164=0,"Yes","No")</f>
        <v/>
      </c>
      <c r="I1164" t="inlineStr">
        <is>
          <t>Yes</t>
        </is>
      </c>
      <c r="J1164">
        <f>IF(I1164="","",IF(AND(I1164=C1164,I1164=D1164),"Both",IF(I1164=C1164,"Opus",IF(I1164=D1164,"Sonnet","Neither"))))</f>
        <v/>
      </c>
    </row>
    <row r="1165">
      <c r="A1165" t="inlineStr">
        <is>
          <t>R326</t>
        </is>
      </c>
      <c r="B1165" t="inlineStr">
        <is>
          <t>Q4</t>
        </is>
      </c>
      <c r="C1165" t="inlineStr">
        <is>
          <t>Partial</t>
        </is>
      </c>
      <c r="D1165" t="inlineStr">
        <is>
          <t>Partial</t>
        </is>
      </c>
      <c r="E1165">
        <f>VLOOKUP(C1165,CategoryMap,2,0)</f>
        <v/>
      </c>
      <c r="F1165">
        <f>VLOOKUP(D1165,CategoryMap,2,0)</f>
        <v/>
      </c>
      <c r="G1165">
        <f>ABS(E1165-F1165)</f>
        <v/>
      </c>
      <c r="H1165">
        <f>IF(G1165=0,"Yes","No")</f>
        <v/>
      </c>
      <c r="I1165" t="inlineStr">
        <is>
          <t>Partial</t>
        </is>
      </c>
      <c r="J1165">
        <f>IF(I1165="","",IF(AND(I1165=C1165,I1165=D1165),"Both",IF(I1165=C1165,"Opus",IF(I1165=D1165,"Sonnet","Neither"))))</f>
        <v/>
      </c>
    </row>
    <row r="1166">
      <c r="A1166" t="inlineStr">
        <is>
          <t>R326</t>
        </is>
      </c>
      <c r="B1166" t="inlineStr">
        <is>
          <t>Q5</t>
        </is>
      </c>
      <c r="C1166" t="inlineStr">
        <is>
          <t>Partial</t>
        </is>
      </c>
      <c r="D1166" t="inlineStr">
        <is>
          <t>Partial</t>
        </is>
      </c>
      <c r="E1166">
        <f>VLOOKUP(C1166,CategoryMap,2,0)</f>
        <v/>
      </c>
      <c r="F1166">
        <f>VLOOKUP(D1166,CategoryMap,2,0)</f>
        <v/>
      </c>
      <c r="G1166">
        <f>ABS(E1166-F1166)</f>
        <v/>
      </c>
      <c r="H1166">
        <f>IF(G1166=0,"Yes","No")</f>
        <v/>
      </c>
      <c r="I1166" t="inlineStr">
        <is>
          <t>Partial</t>
        </is>
      </c>
      <c r="J1166">
        <f>IF(I1166="","",IF(AND(I1166=C1166,I1166=D1166),"Both",IF(I1166=C1166,"Opus",IF(I1166=D1166,"Sonnet","Neither"))))</f>
        <v/>
      </c>
    </row>
    <row r="1167">
      <c r="A1167" t="inlineStr">
        <is>
          <t>R326</t>
        </is>
      </c>
      <c r="B1167" t="inlineStr">
        <is>
          <t>Q6</t>
        </is>
      </c>
      <c r="C1167" t="inlineStr">
        <is>
          <t>Partial</t>
        </is>
      </c>
      <c r="D1167" t="inlineStr">
        <is>
          <t>Yes</t>
        </is>
      </c>
      <c r="E1167">
        <f>VLOOKUP(C1167,CategoryMap,2,0)</f>
        <v/>
      </c>
      <c r="F1167">
        <f>VLOOKUP(D1167,CategoryMap,2,0)</f>
        <v/>
      </c>
      <c r="G1167">
        <f>ABS(E1167-F1167)</f>
        <v/>
      </c>
      <c r="H1167">
        <f>IF(G1167=0,"Yes","No")</f>
        <v/>
      </c>
      <c r="I1167" t="inlineStr">
        <is>
          <t>Partial</t>
        </is>
      </c>
      <c r="J1167">
        <f>IF(I1167="","",IF(AND(I1167=C1167,I1167=D1167),"Both",IF(I1167=C1167,"Opus",IF(I1167=D1167,"Sonnet","Neither"))))</f>
        <v/>
      </c>
    </row>
    <row r="1168">
      <c r="A1168" t="inlineStr">
        <is>
          <t>R326</t>
        </is>
      </c>
      <c r="B1168" t="inlineStr">
        <is>
          <t>Q7</t>
        </is>
      </c>
      <c r="C1168" t="inlineStr">
        <is>
          <t>Yes</t>
        </is>
      </c>
      <c r="D1168" t="inlineStr">
        <is>
          <t>Yes</t>
        </is>
      </c>
      <c r="E1168">
        <f>VLOOKUP(C1168,CategoryMap,2,0)</f>
        <v/>
      </c>
      <c r="F1168">
        <f>VLOOKUP(D1168,CategoryMap,2,0)</f>
        <v/>
      </c>
      <c r="G1168">
        <f>ABS(E1168-F1168)</f>
        <v/>
      </c>
      <c r="H1168">
        <f>IF(G1168=0,"Yes","No")</f>
        <v/>
      </c>
      <c r="I1168" t="inlineStr">
        <is>
          <t>Yes</t>
        </is>
      </c>
      <c r="J1168">
        <f>IF(I1168="","",IF(AND(I1168=C1168,I1168=D1168),"Both",IF(I1168=C1168,"Opus",IF(I1168=D1168,"Sonnet","Neither"))))</f>
        <v/>
      </c>
    </row>
    <row r="1169">
      <c r="A1169" t="inlineStr">
        <is>
          <t>R326</t>
        </is>
      </c>
      <c r="B1169" t="inlineStr">
        <is>
          <t>Q8</t>
        </is>
      </c>
      <c r="C1169" t="inlineStr">
        <is>
          <t>Yes</t>
        </is>
      </c>
      <c r="D1169" t="inlineStr">
        <is>
          <t>Partial</t>
        </is>
      </c>
      <c r="E1169">
        <f>VLOOKUP(C1169,CategoryMap,2,0)</f>
        <v/>
      </c>
      <c r="F1169">
        <f>VLOOKUP(D1169,CategoryMap,2,0)</f>
        <v/>
      </c>
      <c r="G1169">
        <f>ABS(E1169-F1169)</f>
        <v/>
      </c>
      <c r="H1169">
        <f>IF(G1169=0,"Yes","No")</f>
        <v/>
      </c>
      <c r="I1169" t="inlineStr">
        <is>
          <t>Yes</t>
        </is>
      </c>
      <c r="J1169">
        <f>IF(I1169="","",IF(AND(I1169=C1169,I1169=D1169),"Both",IF(I1169=C1169,"Opus",IF(I1169=D1169,"Sonnet","Neither"))))</f>
        <v/>
      </c>
    </row>
    <row r="1170">
      <c r="A1170" t="inlineStr">
        <is>
          <t>R328</t>
        </is>
      </c>
      <c r="B1170" t="inlineStr">
        <is>
          <t>Q1</t>
        </is>
      </c>
      <c r="C1170" t="inlineStr">
        <is>
          <t>Partial</t>
        </is>
      </c>
      <c r="D1170" t="inlineStr">
        <is>
          <t>Partial</t>
        </is>
      </c>
      <c r="E1170">
        <f>VLOOKUP(C1170,CategoryMap,2,0)</f>
        <v/>
      </c>
      <c r="F1170">
        <f>VLOOKUP(D1170,CategoryMap,2,0)</f>
        <v/>
      </c>
      <c r="G1170">
        <f>ABS(E1170-F1170)</f>
        <v/>
      </c>
      <c r="H1170">
        <f>IF(G1170=0,"Yes","No")</f>
        <v/>
      </c>
      <c r="I1170" t="inlineStr">
        <is>
          <t>Partial</t>
        </is>
      </c>
      <c r="J1170">
        <f>IF(I1170="","",IF(AND(I1170=C1170,I1170=D1170),"Both",IF(I1170=C1170,"Opus",IF(I1170=D1170,"Sonnet","Neither"))))</f>
        <v/>
      </c>
    </row>
    <row r="1171">
      <c r="A1171" t="inlineStr">
        <is>
          <t>R328</t>
        </is>
      </c>
      <c r="B1171" t="inlineStr">
        <is>
          <t>Q2</t>
        </is>
      </c>
      <c r="C1171" t="inlineStr">
        <is>
          <t>Yes</t>
        </is>
      </c>
      <c r="D1171" t="inlineStr">
        <is>
          <t>Partial</t>
        </is>
      </c>
      <c r="E1171">
        <f>VLOOKUP(C1171,CategoryMap,2,0)</f>
        <v/>
      </c>
      <c r="F1171">
        <f>VLOOKUP(D1171,CategoryMap,2,0)</f>
        <v/>
      </c>
      <c r="G1171">
        <f>ABS(E1171-F1171)</f>
        <v/>
      </c>
      <c r="H1171">
        <f>IF(G1171=0,"Yes","No")</f>
        <v/>
      </c>
      <c r="I1171" t="inlineStr">
        <is>
          <t>Partial</t>
        </is>
      </c>
      <c r="J1171">
        <f>IF(I1171="","",IF(AND(I1171=C1171,I1171=D1171),"Both",IF(I1171=C1171,"Opus",IF(I1171=D1171,"Sonnet","Neither"))))</f>
        <v/>
      </c>
    </row>
    <row r="1172">
      <c r="A1172" t="inlineStr">
        <is>
          <t>R328</t>
        </is>
      </c>
      <c r="B1172" t="inlineStr">
        <is>
          <t>Q3</t>
        </is>
      </c>
      <c r="C1172" t="inlineStr">
        <is>
          <t>Yes</t>
        </is>
      </c>
      <c r="D1172" t="inlineStr">
        <is>
          <t>Yes</t>
        </is>
      </c>
      <c r="E1172">
        <f>VLOOKUP(C1172,CategoryMap,2,0)</f>
        <v/>
      </c>
      <c r="F1172">
        <f>VLOOKUP(D1172,CategoryMap,2,0)</f>
        <v/>
      </c>
      <c r="G1172">
        <f>ABS(E1172-F1172)</f>
        <v/>
      </c>
      <c r="H1172">
        <f>IF(G1172=0,"Yes","No")</f>
        <v/>
      </c>
      <c r="I1172" t="inlineStr">
        <is>
          <t>Yes</t>
        </is>
      </c>
      <c r="J1172">
        <f>IF(I1172="","",IF(AND(I1172=C1172,I1172=D1172),"Both",IF(I1172=C1172,"Opus",IF(I1172=D1172,"Sonnet","Neither"))))</f>
        <v/>
      </c>
    </row>
    <row r="1173">
      <c r="A1173" t="inlineStr">
        <is>
          <t>R328</t>
        </is>
      </c>
      <c r="B1173" t="inlineStr">
        <is>
          <t>Q4</t>
        </is>
      </c>
      <c r="C1173" t="inlineStr">
        <is>
          <t>Partial</t>
        </is>
      </c>
      <c r="D1173" t="inlineStr">
        <is>
          <t>Yes</t>
        </is>
      </c>
      <c r="E1173">
        <f>VLOOKUP(C1173,CategoryMap,2,0)</f>
        <v/>
      </c>
      <c r="F1173">
        <f>VLOOKUP(D1173,CategoryMap,2,0)</f>
        <v/>
      </c>
      <c r="G1173">
        <f>ABS(E1173-F1173)</f>
        <v/>
      </c>
      <c r="H1173">
        <f>IF(G1173=0,"Yes","No")</f>
        <v/>
      </c>
      <c r="I1173" t="inlineStr">
        <is>
          <t>Partial</t>
        </is>
      </c>
      <c r="J1173">
        <f>IF(I1173="","",IF(AND(I1173=C1173,I1173=D1173),"Both",IF(I1173=C1173,"Opus",IF(I1173=D1173,"Sonnet","Neither"))))</f>
        <v/>
      </c>
    </row>
    <row r="1174">
      <c r="A1174" t="inlineStr">
        <is>
          <t>R328</t>
        </is>
      </c>
      <c r="B1174" t="inlineStr">
        <is>
          <t>Q5</t>
        </is>
      </c>
      <c r="C1174" t="inlineStr">
        <is>
          <t>Yes</t>
        </is>
      </c>
      <c r="D1174" t="inlineStr">
        <is>
          <t>Yes</t>
        </is>
      </c>
      <c r="E1174">
        <f>VLOOKUP(C1174,CategoryMap,2,0)</f>
        <v/>
      </c>
      <c r="F1174">
        <f>VLOOKUP(D1174,CategoryMap,2,0)</f>
        <v/>
      </c>
      <c r="G1174">
        <f>ABS(E1174-F1174)</f>
        <v/>
      </c>
      <c r="H1174">
        <f>IF(G1174=0,"Yes","No")</f>
        <v/>
      </c>
      <c r="I1174" t="inlineStr">
        <is>
          <t>Yes</t>
        </is>
      </c>
      <c r="J1174">
        <f>IF(I1174="","",IF(AND(I1174=C1174,I1174=D1174),"Both",IF(I1174=C1174,"Opus",IF(I1174=D1174,"Sonnet","Neither"))))</f>
        <v/>
      </c>
    </row>
    <row r="1175">
      <c r="A1175" t="inlineStr">
        <is>
          <t>R328</t>
        </is>
      </c>
      <c r="B1175" t="inlineStr">
        <is>
          <t>Q6</t>
        </is>
      </c>
      <c r="C1175" t="inlineStr">
        <is>
          <t>Yes</t>
        </is>
      </c>
      <c r="D1175" t="inlineStr">
        <is>
          <t>Yes</t>
        </is>
      </c>
      <c r="E1175">
        <f>VLOOKUP(C1175,CategoryMap,2,0)</f>
        <v/>
      </c>
      <c r="F1175">
        <f>VLOOKUP(D1175,CategoryMap,2,0)</f>
        <v/>
      </c>
      <c r="G1175">
        <f>ABS(E1175-F1175)</f>
        <v/>
      </c>
      <c r="H1175">
        <f>IF(G1175=0,"Yes","No")</f>
        <v/>
      </c>
      <c r="I1175" t="inlineStr">
        <is>
          <t>Yes</t>
        </is>
      </c>
      <c r="J1175">
        <f>IF(I1175="","",IF(AND(I1175=C1175,I1175=D1175),"Both",IF(I1175=C1175,"Opus",IF(I1175=D1175,"Sonnet","Neither"))))</f>
        <v/>
      </c>
    </row>
    <row r="1176">
      <c r="A1176" t="inlineStr">
        <is>
          <t>R328</t>
        </is>
      </c>
      <c r="B1176" t="inlineStr">
        <is>
          <t>Q7</t>
        </is>
      </c>
      <c r="C1176" t="inlineStr">
        <is>
          <t>Partial</t>
        </is>
      </c>
      <c r="D1176" t="inlineStr">
        <is>
          <t>Partial</t>
        </is>
      </c>
      <c r="E1176">
        <f>VLOOKUP(C1176,CategoryMap,2,0)</f>
        <v/>
      </c>
      <c r="F1176">
        <f>VLOOKUP(D1176,CategoryMap,2,0)</f>
        <v/>
      </c>
      <c r="G1176">
        <f>ABS(E1176-F1176)</f>
        <v/>
      </c>
      <c r="H1176">
        <f>IF(G1176=0,"Yes","No")</f>
        <v/>
      </c>
      <c r="I1176" t="inlineStr">
        <is>
          <t>Partial</t>
        </is>
      </c>
      <c r="J1176">
        <f>IF(I1176="","",IF(AND(I1176=C1176,I1176=D1176),"Both",IF(I1176=C1176,"Opus",IF(I1176=D1176,"Sonnet","Neither"))))</f>
        <v/>
      </c>
    </row>
    <row r="1177">
      <c r="A1177" t="inlineStr">
        <is>
          <t>R328</t>
        </is>
      </c>
      <c r="B1177" t="inlineStr">
        <is>
          <t>Q8</t>
        </is>
      </c>
      <c r="C1177" t="inlineStr">
        <is>
          <t>Partial</t>
        </is>
      </c>
      <c r="D1177" t="inlineStr">
        <is>
          <t>Partial</t>
        </is>
      </c>
      <c r="E1177">
        <f>VLOOKUP(C1177,CategoryMap,2,0)</f>
        <v/>
      </c>
      <c r="F1177">
        <f>VLOOKUP(D1177,CategoryMap,2,0)</f>
        <v/>
      </c>
      <c r="G1177">
        <f>ABS(E1177-F1177)</f>
        <v/>
      </c>
      <c r="H1177">
        <f>IF(G1177=0,"Yes","No")</f>
        <v/>
      </c>
      <c r="I1177" t="inlineStr">
        <is>
          <t>No</t>
        </is>
      </c>
      <c r="J1177">
        <f>IF(I1177="","",IF(AND(I1177=C1177,I1177=D1177),"Both",IF(I1177=C1177,"Opus",IF(I1177=D1177,"Sonnet","Neither"))))</f>
        <v/>
      </c>
    </row>
    <row r="1178">
      <c r="A1178" t="inlineStr">
        <is>
          <t>R330</t>
        </is>
      </c>
      <c r="B1178" t="inlineStr">
        <is>
          <t>Q1</t>
        </is>
      </c>
      <c r="C1178" t="inlineStr">
        <is>
          <t>Partial</t>
        </is>
      </c>
      <c r="D1178" t="inlineStr">
        <is>
          <t>No</t>
        </is>
      </c>
      <c r="E1178">
        <f>VLOOKUP(C1178,CategoryMap,2,0)</f>
        <v/>
      </c>
      <c r="F1178">
        <f>VLOOKUP(D1178,CategoryMap,2,0)</f>
        <v/>
      </c>
      <c r="G1178">
        <f>ABS(E1178-F1178)</f>
        <v/>
      </c>
      <c r="H1178">
        <f>IF(G1178=0,"Yes","No")</f>
        <v/>
      </c>
      <c r="I1178" t="inlineStr">
        <is>
          <t>No</t>
        </is>
      </c>
      <c r="J1178">
        <f>IF(I1178="","",IF(AND(I1178=C1178,I1178=D1178),"Both",IF(I1178=C1178,"Opus",IF(I1178=D1178,"Sonnet","Neither"))))</f>
        <v/>
      </c>
    </row>
    <row r="1179">
      <c r="A1179" t="inlineStr">
        <is>
          <t>R330</t>
        </is>
      </c>
      <c r="B1179" t="inlineStr">
        <is>
          <t>Q2</t>
        </is>
      </c>
      <c r="C1179" t="inlineStr">
        <is>
          <t>Partial</t>
        </is>
      </c>
      <c r="D1179" t="inlineStr">
        <is>
          <t>Partial</t>
        </is>
      </c>
      <c r="E1179">
        <f>VLOOKUP(C1179,CategoryMap,2,0)</f>
        <v/>
      </c>
      <c r="F1179">
        <f>VLOOKUP(D1179,CategoryMap,2,0)</f>
        <v/>
      </c>
      <c r="G1179">
        <f>ABS(E1179-F1179)</f>
        <v/>
      </c>
      <c r="H1179">
        <f>IF(G1179=0,"Yes","No")</f>
        <v/>
      </c>
      <c r="I1179" t="inlineStr">
        <is>
          <t>Partial</t>
        </is>
      </c>
      <c r="J1179">
        <f>IF(I1179="","",IF(AND(I1179=C1179,I1179=D1179),"Both",IF(I1179=C1179,"Opus",IF(I1179=D1179,"Sonnet","Neither"))))</f>
        <v/>
      </c>
    </row>
    <row r="1180">
      <c r="A1180" t="inlineStr">
        <is>
          <t>R330</t>
        </is>
      </c>
      <c r="B1180" t="inlineStr">
        <is>
          <t>Q3</t>
        </is>
      </c>
      <c r="C1180" t="inlineStr">
        <is>
          <t>Partial</t>
        </is>
      </c>
      <c r="D1180" t="inlineStr">
        <is>
          <t>Partial</t>
        </is>
      </c>
      <c r="E1180">
        <f>VLOOKUP(C1180,CategoryMap,2,0)</f>
        <v/>
      </c>
      <c r="F1180">
        <f>VLOOKUP(D1180,CategoryMap,2,0)</f>
        <v/>
      </c>
      <c r="G1180">
        <f>ABS(E1180-F1180)</f>
        <v/>
      </c>
      <c r="H1180">
        <f>IF(G1180=0,"Yes","No")</f>
        <v/>
      </c>
      <c r="I1180" t="inlineStr">
        <is>
          <t>Partial</t>
        </is>
      </c>
      <c r="J1180">
        <f>IF(I1180="","",IF(AND(I1180=C1180,I1180=D1180),"Both",IF(I1180=C1180,"Opus",IF(I1180=D1180,"Sonnet","Neither"))))</f>
        <v/>
      </c>
    </row>
    <row r="1181">
      <c r="A1181" t="inlineStr">
        <is>
          <t>R330</t>
        </is>
      </c>
      <c r="B1181" t="inlineStr">
        <is>
          <t>Q4</t>
        </is>
      </c>
      <c r="C1181" t="inlineStr">
        <is>
          <t>Partial</t>
        </is>
      </c>
      <c r="D1181" t="inlineStr">
        <is>
          <t>Partial</t>
        </is>
      </c>
      <c r="E1181">
        <f>VLOOKUP(C1181,CategoryMap,2,0)</f>
        <v/>
      </c>
      <c r="F1181">
        <f>VLOOKUP(D1181,CategoryMap,2,0)</f>
        <v/>
      </c>
      <c r="G1181">
        <f>ABS(E1181-F1181)</f>
        <v/>
      </c>
      <c r="H1181">
        <f>IF(G1181=0,"Yes","No")</f>
        <v/>
      </c>
      <c r="I1181" t="inlineStr">
        <is>
          <t>Partial</t>
        </is>
      </c>
      <c r="J1181">
        <f>IF(I1181="","",IF(AND(I1181=C1181,I1181=D1181),"Both",IF(I1181=C1181,"Opus",IF(I1181=D1181,"Sonnet","Neither"))))</f>
        <v/>
      </c>
    </row>
    <row r="1182">
      <c r="A1182" t="inlineStr">
        <is>
          <t>R330</t>
        </is>
      </c>
      <c r="B1182" t="inlineStr">
        <is>
          <t>Q5</t>
        </is>
      </c>
      <c r="C1182" t="inlineStr">
        <is>
          <t>Yes</t>
        </is>
      </c>
      <c r="D1182" t="inlineStr">
        <is>
          <t>Yes</t>
        </is>
      </c>
      <c r="E1182">
        <f>VLOOKUP(C1182,CategoryMap,2,0)</f>
        <v/>
      </c>
      <c r="F1182">
        <f>VLOOKUP(D1182,CategoryMap,2,0)</f>
        <v/>
      </c>
      <c r="G1182">
        <f>ABS(E1182-F1182)</f>
        <v/>
      </c>
      <c r="H1182">
        <f>IF(G1182=0,"Yes","No")</f>
        <v/>
      </c>
      <c r="I1182" t="inlineStr">
        <is>
          <t>Yes</t>
        </is>
      </c>
      <c r="J1182">
        <f>IF(I1182="","",IF(AND(I1182=C1182,I1182=D1182),"Both",IF(I1182=C1182,"Opus",IF(I1182=D1182,"Sonnet","Neither"))))</f>
        <v/>
      </c>
    </row>
    <row r="1183">
      <c r="A1183" t="inlineStr">
        <is>
          <t>R330</t>
        </is>
      </c>
      <c r="B1183" t="inlineStr">
        <is>
          <t>Q6</t>
        </is>
      </c>
      <c r="C1183" t="inlineStr">
        <is>
          <t>Yes</t>
        </is>
      </c>
      <c r="D1183" t="inlineStr">
        <is>
          <t>Yes</t>
        </is>
      </c>
      <c r="E1183">
        <f>VLOOKUP(C1183,CategoryMap,2,0)</f>
        <v/>
      </c>
      <c r="F1183">
        <f>VLOOKUP(D1183,CategoryMap,2,0)</f>
        <v/>
      </c>
      <c r="G1183">
        <f>ABS(E1183-F1183)</f>
        <v/>
      </c>
      <c r="H1183">
        <f>IF(G1183=0,"Yes","No")</f>
        <v/>
      </c>
      <c r="I1183" t="inlineStr">
        <is>
          <t>Yes</t>
        </is>
      </c>
      <c r="J1183">
        <f>IF(I1183="","",IF(AND(I1183=C1183,I1183=D1183),"Both",IF(I1183=C1183,"Opus",IF(I1183=D1183,"Sonnet","Neither"))))</f>
        <v/>
      </c>
    </row>
    <row r="1184">
      <c r="A1184" t="inlineStr">
        <is>
          <t>R330</t>
        </is>
      </c>
      <c r="B1184" t="inlineStr">
        <is>
          <t>Q7</t>
        </is>
      </c>
      <c r="C1184" t="inlineStr">
        <is>
          <t>Partial</t>
        </is>
      </c>
      <c r="D1184" t="inlineStr">
        <is>
          <t>Partial</t>
        </is>
      </c>
      <c r="E1184">
        <f>VLOOKUP(C1184,CategoryMap,2,0)</f>
        <v/>
      </c>
      <c r="F1184">
        <f>VLOOKUP(D1184,CategoryMap,2,0)</f>
        <v/>
      </c>
      <c r="G1184">
        <f>ABS(E1184-F1184)</f>
        <v/>
      </c>
      <c r="H1184">
        <f>IF(G1184=0,"Yes","No")</f>
        <v/>
      </c>
      <c r="I1184" t="inlineStr">
        <is>
          <t>Partial</t>
        </is>
      </c>
      <c r="J1184">
        <f>IF(I1184="","",IF(AND(I1184=C1184,I1184=D1184),"Both",IF(I1184=C1184,"Opus",IF(I1184=D1184,"Sonnet","Neither"))))</f>
        <v/>
      </c>
    </row>
    <row r="1185">
      <c r="A1185" t="inlineStr">
        <is>
          <t>R330</t>
        </is>
      </c>
      <c r="B1185" t="inlineStr">
        <is>
          <t>Q8</t>
        </is>
      </c>
      <c r="C1185" t="inlineStr">
        <is>
          <t>Partial</t>
        </is>
      </c>
      <c r="D1185" t="inlineStr">
        <is>
          <t>No</t>
        </is>
      </c>
      <c r="E1185">
        <f>VLOOKUP(C1185,CategoryMap,2,0)</f>
        <v/>
      </c>
      <c r="F1185">
        <f>VLOOKUP(D1185,CategoryMap,2,0)</f>
        <v/>
      </c>
      <c r="G1185">
        <f>ABS(E1185-F1185)</f>
        <v/>
      </c>
      <c r="H1185">
        <f>IF(G1185=0,"Yes","No")</f>
        <v/>
      </c>
      <c r="I1185" t="inlineStr">
        <is>
          <t>Partial</t>
        </is>
      </c>
      <c r="J1185">
        <f>IF(I1185="","",IF(AND(I1185=C1185,I1185=D1185),"Both",IF(I1185=C1185,"Opus",IF(I1185=D1185,"Sonnet","Neither"))))</f>
        <v/>
      </c>
    </row>
    <row r="1186">
      <c r="A1186" t="inlineStr">
        <is>
          <t>R331</t>
        </is>
      </c>
      <c r="B1186" t="inlineStr">
        <is>
          <t>Q1</t>
        </is>
      </c>
      <c r="C1186" t="inlineStr">
        <is>
          <t>Partial</t>
        </is>
      </c>
      <c r="D1186" t="inlineStr">
        <is>
          <t>No</t>
        </is>
      </c>
      <c r="E1186">
        <f>VLOOKUP(C1186,CategoryMap,2,0)</f>
        <v/>
      </c>
      <c r="F1186">
        <f>VLOOKUP(D1186,CategoryMap,2,0)</f>
        <v/>
      </c>
      <c r="G1186">
        <f>ABS(E1186-F1186)</f>
        <v/>
      </c>
      <c r="H1186">
        <f>IF(G1186=0,"Yes","No")</f>
        <v/>
      </c>
      <c r="I1186" t="inlineStr">
        <is>
          <t>No</t>
        </is>
      </c>
      <c r="J1186">
        <f>IF(I1186="","",IF(AND(I1186=C1186,I1186=D1186),"Both",IF(I1186=C1186,"Opus",IF(I1186=D1186,"Sonnet","Neither"))))</f>
        <v/>
      </c>
    </row>
    <row r="1187">
      <c r="A1187" t="inlineStr">
        <is>
          <t>R331</t>
        </is>
      </c>
      <c r="B1187" t="inlineStr">
        <is>
          <t>Q2</t>
        </is>
      </c>
      <c r="C1187" t="inlineStr">
        <is>
          <t>Partial</t>
        </is>
      </c>
      <c r="D1187" t="inlineStr">
        <is>
          <t>Partial</t>
        </is>
      </c>
      <c r="E1187">
        <f>VLOOKUP(C1187,CategoryMap,2,0)</f>
        <v/>
      </c>
      <c r="F1187">
        <f>VLOOKUP(D1187,CategoryMap,2,0)</f>
        <v/>
      </c>
      <c r="G1187">
        <f>ABS(E1187-F1187)</f>
        <v/>
      </c>
      <c r="H1187">
        <f>IF(G1187=0,"Yes","No")</f>
        <v/>
      </c>
      <c r="I1187" t="inlineStr">
        <is>
          <t>Partial</t>
        </is>
      </c>
      <c r="J1187">
        <f>IF(I1187="","",IF(AND(I1187=C1187,I1187=D1187),"Both",IF(I1187=C1187,"Opus",IF(I1187=D1187,"Sonnet","Neither"))))</f>
        <v/>
      </c>
    </row>
    <row r="1188">
      <c r="A1188" t="inlineStr">
        <is>
          <t>R331</t>
        </is>
      </c>
      <c r="B1188" t="inlineStr">
        <is>
          <t>Q3</t>
        </is>
      </c>
      <c r="C1188" t="inlineStr">
        <is>
          <t>Partial</t>
        </is>
      </c>
      <c r="D1188" t="inlineStr">
        <is>
          <t>No</t>
        </is>
      </c>
      <c r="E1188">
        <f>VLOOKUP(C1188,CategoryMap,2,0)</f>
        <v/>
      </c>
      <c r="F1188">
        <f>VLOOKUP(D1188,CategoryMap,2,0)</f>
        <v/>
      </c>
      <c r="G1188">
        <f>ABS(E1188-F1188)</f>
        <v/>
      </c>
      <c r="H1188">
        <f>IF(G1188=0,"Yes","No")</f>
        <v/>
      </c>
      <c r="I1188" t="inlineStr">
        <is>
          <t>No</t>
        </is>
      </c>
      <c r="J1188">
        <f>IF(I1188="","",IF(AND(I1188=C1188,I1188=D1188),"Both",IF(I1188=C1188,"Opus",IF(I1188=D1188,"Sonnet","Neither"))))</f>
        <v/>
      </c>
    </row>
    <row r="1189">
      <c r="A1189" t="inlineStr">
        <is>
          <t>R331</t>
        </is>
      </c>
      <c r="B1189" t="inlineStr">
        <is>
          <t>Q4</t>
        </is>
      </c>
      <c r="C1189" t="inlineStr">
        <is>
          <t>Partial</t>
        </is>
      </c>
      <c r="D1189" t="inlineStr">
        <is>
          <t>Partial</t>
        </is>
      </c>
      <c r="E1189">
        <f>VLOOKUP(C1189,CategoryMap,2,0)</f>
        <v/>
      </c>
      <c r="F1189">
        <f>VLOOKUP(D1189,CategoryMap,2,0)</f>
        <v/>
      </c>
      <c r="G1189">
        <f>ABS(E1189-F1189)</f>
        <v/>
      </c>
      <c r="H1189">
        <f>IF(G1189=0,"Yes","No")</f>
        <v/>
      </c>
      <c r="I1189" t="inlineStr">
        <is>
          <t>Partial</t>
        </is>
      </c>
      <c r="J1189">
        <f>IF(I1189="","",IF(AND(I1189=C1189,I1189=D1189),"Both",IF(I1189=C1189,"Opus",IF(I1189=D1189,"Sonnet","Neither"))))</f>
        <v/>
      </c>
    </row>
    <row r="1190">
      <c r="A1190" t="inlineStr">
        <is>
          <t>R331</t>
        </is>
      </c>
      <c r="B1190" t="inlineStr">
        <is>
          <t>Q5</t>
        </is>
      </c>
      <c r="C1190" t="inlineStr">
        <is>
          <t>Yes</t>
        </is>
      </c>
      <c r="D1190" t="inlineStr">
        <is>
          <t>Yes</t>
        </is>
      </c>
      <c r="E1190">
        <f>VLOOKUP(C1190,CategoryMap,2,0)</f>
        <v/>
      </c>
      <c r="F1190">
        <f>VLOOKUP(D1190,CategoryMap,2,0)</f>
        <v/>
      </c>
      <c r="G1190">
        <f>ABS(E1190-F1190)</f>
        <v/>
      </c>
      <c r="H1190">
        <f>IF(G1190=0,"Yes","No")</f>
        <v/>
      </c>
      <c r="I1190" t="inlineStr">
        <is>
          <t>Yes</t>
        </is>
      </c>
      <c r="J1190">
        <f>IF(I1190="","",IF(AND(I1190=C1190,I1190=D1190),"Both",IF(I1190=C1190,"Opus",IF(I1190=D1190,"Sonnet","Neither"))))</f>
        <v/>
      </c>
    </row>
    <row r="1191">
      <c r="A1191" t="inlineStr">
        <is>
          <t>R331</t>
        </is>
      </c>
      <c r="B1191" t="inlineStr">
        <is>
          <t>Q6</t>
        </is>
      </c>
      <c r="C1191" t="inlineStr">
        <is>
          <t>Yes</t>
        </is>
      </c>
      <c r="D1191" t="inlineStr">
        <is>
          <t>Yes</t>
        </is>
      </c>
      <c r="E1191">
        <f>VLOOKUP(C1191,CategoryMap,2,0)</f>
        <v/>
      </c>
      <c r="F1191">
        <f>VLOOKUP(D1191,CategoryMap,2,0)</f>
        <v/>
      </c>
      <c r="G1191">
        <f>ABS(E1191-F1191)</f>
        <v/>
      </c>
      <c r="H1191">
        <f>IF(G1191=0,"Yes","No")</f>
        <v/>
      </c>
      <c r="I1191" t="inlineStr">
        <is>
          <t>Yes</t>
        </is>
      </c>
      <c r="J1191">
        <f>IF(I1191="","",IF(AND(I1191=C1191,I1191=D1191),"Both",IF(I1191=C1191,"Opus",IF(I1191=D1191,"Sonnet","Neither"))))</f>
        <v/>
      </c>
    </row>
    <row r="1192">
      <c r="A1192" t="inlineStr">
        <is>
          <t>R331</t>
        </is>
      </c>
      <c r="B1192" t="inlineStr">
        <is>
          <t>Q7</t>
        </is>
      </c>
      <c r="C1192" t="inlineStr">
        <is>
          <t>Yes</t>
        </is>
      </c>
      <c r="D1192" t="inlineStr">
        <is>
          <t>Yes</t>
        </is>
      </c>
      <c r="E1192">
        <f>VLOOKUP(C1192,CategoryMap,2,0)</f>
        <v/>
      </c>
      <c r="F1192">
        <f>VLOOKUP(D1192,CategoryMap,2,0)</f>
        <v/>
      </c>
      <c r="G1192">
        <f>ABS(E1192-F1192)</f>
        <v/>
      </c>
      <c r="H1192">
        <f>IF(G1192=0,"Yes","No")</f>
        <v/>
      </c>
      <c r="I1192" t="inlineStr">
        <is>
          <t>Yes</t>
        </is>
      </c>
      <c r="J1192">
        <f>IF(I1192="","",IF(AND(I1192=C1192,I1192=D1192),"Both",IF(I1192=C1192,"Opus",IF(I1192=D1192,"Sonnet","Neither"))))</f>
        <v/>
      </c>
    </row>
    <row r="1193">
      <c r="A1193" t="inlineStr">
        <is>
          <t>R331</t>
        </is>
      </c>
      <c r="B1193" t="inlineStr">
        <is>
          <t>Q8</t>
        </is>
      </c>
      <c r="C1193" t="inlineStr">
        <is>
          <t>Partial</t>
        </is>
      </c>
      <c r="D1193" t="inlineStr">
        <is>
          <t>No</t>
        </is>
      </c>
      <c r="E1193">
        <f>VLOOKUP(C1193,CategoryMap,2,0)</f>
        <v/>
      </c>
      <c r="F1193">
        <f>VLOOKUP(D1193,CategoryMap,2,0)</f>
        <v/>
      </c>
      <c r="G1193">
        <f>ABS(E1193-F1193)</f>
        <v/>
      </c>
      <c r="H1193">
        <f>IF(G1193=0,"Yes","No")</f>
        <v/>
      </c>
      <c r="I1193" t="inlineStr">
        <is>
          <t>No</t>
        </is>
      </c>
      <c r="J1193">
        <f>IF(I1193="","",IF(AND(I1193=C1193,I1193=D1193),"Both",IF(I1193=C1193,"Opus",IF(I1193=D1193,"Sonnet","Neither"))))</f>
        <v/>
      </c>
    </row>
    <row r="1194">
      <c r="A1194" t="inlineStr">
        <is>
          <t>R332</t>
        </is>
      </c>
      <c r="B1194" t="inlineStr">
        <is>
          <t>Q1</t>
        </is>
      </c>
      <c r="C1194" t="inlineStr">
        <is>
          <t>Partial</t>
        </is>
      </c>
      <c r="D1194" t="inlineStr">
        <is>
          <t>Partial</t>
        </is>
      </c>
      <c r="E1194">
        <f>VLOOKUP(C1194,CategoryMap,2,0)</f>
        <v/>
      </c>
      <c r="F1194">
        <f>VLOOKUP(D1194,CategoryMap,2,0)</f>
        <v/>
      </c>
      <c r="G1194">
        <f>ABS(E1194-F1194)</f>
        <v/>
      </c>
      <c r="H1194">
        <f>IF(G1194=0,"Yes","No")</f>
        <v/>
      </c>
      <c r="I1194" t="inlineStr">
        <is>
          <t>Partial</t>
        </is>
      </c>
      <c r="J1194">
        <f>IF(I1194="","",IF(AND(I1194=C1194,I1194=D1194),"Both",IF(I1194=C1194,"Opus",IF(I1194=D1194,"Sonnet","Neither"))))</f>
        <v/>
      </c>
    </row>
    <row r="1195">
      <c r="A1195" t="inlineStr">
        <is>
          <t>R332</t>
        </is>
      </c>
      <c r="B1195" t="inlineStr">
        <is>
          <t>Q2</t>
        </is>
      </c>
      <c r="C1195" t="inlineStr">
        <is>
          <t>Partial</t>
        </is>
      </c>
      <c r="D1195" t="inlineStr">
        <is>
          <t>Partial</t>
        </is>
      </c>
      <c r="E1195">
        <f>VLOOKUP(C1195,CategoryMap,2,0)</f>
        <v/>
      </c>
      <c r="F1195">
        <f>VLOOKUP(D1195,CategoryMap,2,0)</f>
        <v/>
      </c>
      <c r="G1195">
        <f>ABS(E1195-F1195)</f>
        <v/>
      </c>
      <c r="H1195">
        <f>IF(G1195=0,"Yes","No")</f>
        <v/>
      </c>
      <c r="I1195" t="inlineStr">
        <is>
          <t>Partial</t>
        </is>
      </c>
      <c r="J1195">
        <f>IF(I1195="","",IF(AND(I1195=C1195,I1195=D1195),"Both",IF(I1195=C1195,"Opus",IF(I1195=D1195,"Sonnet","Neither"))))</f>
        <v/>
      </c>
    </row>
    <row r="1196">
      <c r="A1196" t="inlineStr">
        <is>
          <t>R332</t>
        </is>
      </c>
      <c r="B1196" t="inlineStr">
        <is>
          <t>Q3</t>
        </is>
      </c>
      <c r="C1196" t="inlineStr">
        <is>
          <t>Partial</t>
        </is>
      </c>
      <c r="D1196" t="inlineStr">
        <is>
          <t>Partial</t>
        </is>
      </c>
      <c r="E1196">
        <f>VLOOKUP(C1196,CategoryMap,2,0)</f>
        <v/>
      </c>
      <c r="F1196">
        <f>VLOOKUP(D1196,CategoryMap,2,0)</f>
        <v/>
      </c>
      <c r="G1196">
        <f>ABS(E1196-F1196)</f>
        <v/>
      </c>
      <c r="H1196">
        <f>IF(G1196=0,"Yes","No")</f>
        <v/>
      </c>
      <c r="I1196" t="inlineStr">
        <is>
          <t>Partial</t>
        </is>
      </c>
      <c r="J1196">
        <f>IF(I1196="","",IF(AND(I1196=C1196,I1196=D1196),"Both",IF(I1196=C1196,"Opus",IF(I1196=D1196,"Sonnet","Neither"))))</f>
        <v/>
      </c>
    </row>
    <row r="1197">
      <c r="A1197" t="inlineStr">
        <is>
          <t>R332</t>
        </is>
      </c>
      <c r="B1197" t="inlineStr">
        <is>
          <t>Q4</t>
        </is>
      </c>
      <c r="C1197" t="inlineStr">
        <is>
          <t>Partial</t>
        </is>
      </c>
      <c r="D1197" t="inlineStr">
        <is>
          <t>Partial</t>
        </is>
      </c>
      <c r="E1197">
        <f>VLOOKUP(C1197,CategoryMap,2,0)</f>
        <v/>
      </c>
      <c r="F1197">
        <f>VLOOKUP(D1197,CategoryMap,2,0)</f>
        <v/>
      </c>
      <c r="G1197">
        <f>ABS(E1197-F1197)</f>
        <v/>
      </c>
      <c r="H1197">
        <f>IF(G1197=0,"Yes","No")</f>
        <v/>
      </c>
      <c r="I1197" t="inlineStr">
        <is>
          <t>Partial</t>
        </is>
      </c>
      <c r="J1197">
        <f>IF(I1197="","",IF(AND(I1197=C1197,I1197=D1197),"Both",IF(I1197=C1197,"Opus",IF(I1197=D1197,"Sonnet","Neither"))))</f>
        <v/>
      </c>
    </row>
    <row r="1198">
      <c r="A1198" t="inlineStr">
        <is>
          <t>R332</t>
        </is>
      </c>
      <c r="B1198" t="inlineStr">
        <is>
          <t>Q5</t>
        </is>
      </c>
      <c r="C1198" t="inlineStr">
        <is>
          <t>Yes</t>
        </is>
      </c>
      <c r="D1198" t="inlineStr">
        <is>
          <t>Yes</t>
        </is>
      </c>
      <c r="E1198">
        <f>VLOOKUP(C1198,CategoryMap,2,0)</f>
        <v/>
      </c>
      <c r="F1198">
        <f>VLOOKUP(D1198,CategoryMap,2,0)</f>
        <v/>
      </c>
      <c r="G1198">
        <f>ABS(E1198-F1198)</f>
        <v/>
      </c>
      <c r="H1198">
        <f>IF(G1198=0,"Yes","No")</f>
        <v/>
      </c>
      <c r="I1198" t="inlineStr">
        <is>
          <t>Yes</t>
        </is>
      </c>
      <c r="J1198">
        <f>IF(I1198="","",IF(AND(I1198=C1198,I1198=D1198),"Both",IF(I1198=C1198,"Opus",IF(I1198=D1198,"Sonnet","Neither"))))</f>
        <v/>
      </c>
    </row>
    <row r="1199">
      <c r="A1199" t="inlineStr">
        <is>
          <t>R332</t>
        </is>
      </c>
      <c r="B1199" t="inlineStr">
        <is>
          <t>Q6</t>
        </is>
      </c>
      <c r="C1199" t="inlineStr">
        <is>
          <t>Yes</t>
        </is>
      </c>
      <c r="D1199" t="inlineStr">
        <is>
          <t>Yes</t>
        </is>
      </c>
      <c r="E1199">
        <f>VLOOKUP(C1199,CategoryMap,2,0)</f>
        <v/>
      </c>
      <c r="F1199">
        <f>VLOOKUP(D1199,CategoryMap,2,0)</f>
        <v/>
      </c>
      <c r="G1199">
        <f>ABS(E1199-F1199)</f>
        <v/>
      </c>
      <c r="H1199">
        <f>IF(G1199=0,"Yes","No")</f>
        <v/>
      </c>
      <c r="I1199" t="inlineStr">
        <is>
          <t>Yes</t>
        </is>
      </c>
      <c r="J1199">
        <f>IF(I1199="","",IF(AND(I1199=C1199,I1199=D1199),"Both",IF(I1199=C1199,"Opus",IF(I1199=D1199,"Sonnet","Neither"))))</f>
        <v/>
      </c>
    </row>
    <row r="1200">
      <c r="A1200" t="inlineStr">
        <is>
          <t>R332</t>
        </is>
      </c>
      <c r="B1200" t="inlineStr">
        <is>
          <t>Q7</t>
        </is>
      </c>
      <c r="C1200" t="inlineStr">
        <is>
          <t>Yes</t>
        </is>
      </c>
      <c r="D1200" t="inlineStr">
        <is>
          <t>Yes</t>
        </is>
      </c>
      <c r="E1200">
        <f>VLOOKUP(C1200,CategoryMap,2,0)</f>
        <v/>
      </c>
      <c r="F1200">
        <f>VLOOKUP(D1200,CategoryMap,2,0)</f>
        <v/>
      </c>
      <c r="G1200">
        <f>ABS(E1200-F1200)</f>
        <v/>
      </c>
      <c r="H1200">
        <f>IF(G1200=0,"Yes","No")</f>
        <v/>
      </c>
      <c r="I1200" t="inlineStr">
        <is>
          <t>Yes</t>
        </is>
      </c>
      <c r="J1200">
        <f>IF(I1200="","",IF(AND(I1200=C1200,I1200=D1200),"Both",IF(I1200=C1200,"Opus",IF(I1200=D1200,"Sonnet","Neither"))))</f>
        <v/>
      </c>
    </row>
    <row r="1201">
      <c r="A1201" t="inlineStr">
        <is>
          <t>R332</t>
        </is>
      </c>
      <c r="B1201" t="inlineStr">
        <is>
          <t>Q8</t>
        </is>
      </c>
      <c r="C1201" t="inlineStr">
        <is>
          <t>Partial</t>
        </is>
      </c>
      <c r="D1201" t="inlineStr">
        <is>
          <t>Partial</t>
        </is>
      </c>
      <c r="E1201">
        <f>VLOOKUP(C1201,CategoryMap,2,0)</f>
        <v/>
      </c>
      <c r="F1201">
        <f>VLOOKUP(D1201,CategoryMap,2,0)</f>
        <v/>
      </c>
      <c r="G1201">
        <f>ABS(E1201-F1201)</f>
        <v/>
      </c>
      <c r="H1201">
        <f>IF(G1201=0,"Yes","No")</f>
        <v/>
      </c>
      <c r="I1201" t="inlineStr">
        <is>
          <t>Partial</t>
        </is>
      </c>
      <c r="J1201">
        <f>IF(I1201="","",IF(AND(I1201=C1201,I1201=D1201),"Both",IF(I1201=C1201,"Opus",IF(I1201=D1201,"Sonnet","Neither"))))</f>
        <v/>
      </c>
    </row>
    <row r="1202">
      <c r="A1202" t="inlineStr">
        <is>
          <t>R333</t>
        </is>
      </c>
      <c r="B1202" t="inlineStr">
        <is>
          <t>Q1</t>
        </is>
      </c>
      <c r="C1202" t="inlineStr">
        <is>
          <t>Yes</t>
        </is>
      </c>
      <c r="D1202" t="inlineStr">
        <is>
          <t>Yes</t>
        </is>
      </c>
      <c r="E1202">
        <f>VLOOKUP(C1202,CategoryMap,2,0)</f>
        <v/>
      </c>
      <c r="F1202">
        <f>VLOOKUP(D1202,CategoryMap,2,0)</f>
        <v/>
      </c>
      <c r="G1202">
        <f>ABS(E1202-F1202)</f>
        <v/>
      </c>
      <c r="H1202">
        <f>IF(G1202=0,"Yes","No")</f>
        <v/>
      </c>
      <c r="I1202" t="inlineStr">
        <is>
          <t>Yes</t>
        </is>
      </c>
      <c r="J1202">
        <f>IF(I1202="","",IF(AND(I1202=C1202,I1202=D1202),"Both",IF(I1202=C1202,"Opus",IF(I1202=D1202,"Sonnet","Neither"))))</f>
        <v/>
      </c>
    </row>
    <row r="1203">
      <c r="A1203" t="inlineStr">
        <is>
          <t>R333</t>
        </is>
      </c>
      <c r="B1203" t="inlineStr">
        <is>
          <t>Q2</t>
        </is>
      </c>
      <c r="C1203" t="inlineStr">
        <is>
          <t>Partial</t>
        </is>
      </c>
      <c r="D1203" t="inlineStr">
        <is>
          <t>Partial</t>
        </is>
      </c>
      <c r="E1203">
        <f>VLOOKUP(C1203,CategoryMap,2,0)</f>
        <v/>
      </c>
      <c r="F1203">
        <f>VLOOKUP(D1203,CategoryMap,2,0)</f>
        <v/>
      </c>
      <c r="G1203">
        <f>ABS(E1203-F1203)</f>
        <v/>
      </c>
      <c r="H1203">
        <f>IF(G1203=0,"Yes","No")</f>
        <v/>
      </c>
      <c r="I1203" t="inlineStr">
        <is>
          <t>Partial</t>
        </is>
      </c>
      <c r="J1203">
        <f>IF(I1203="","",IF(AND(I1203=C1203,I1203=D1203),"Both",IF(I1203=C1203,"Opus",IF(I1203=D1203,"Sonnet","Neither"))))</f>
        <v/>
      </c>
    </row>
    <row r="1204">
      <c r="A1204" t="inlineStr">
        <is>
          <t>R333</t>
        </is>
      </c>
      <c r="B1204" t="inlineStr">
        <is>
          <t>Q3</t>
        </is>
      </c>
      <c r="C1204" t="inlineStr">
        <is>
          <t>Yes</t>
        </is>
      </c>
      <c r="D1204" t="inlineStr">
        <is>
          <t>Yes</t>
        </is>
      </c>
      <c r="E1204">
        <f>VLOOKUP(C1204,CategoryMap,2,0)</f>
        <v/>
      </c>
      <c r="F1204">
        <f>VLOOKUP(D1204,CategoryMap,2,0)</f>
        <v/>
      </c>
      <c r="G1204">
        <f>ABS(E1204-F1204)</f>
        <v/>
      </c>
      <c r="H1204">
        <f>IF(G1204=0,"Yes","No")</f>
        <v/>
      </c>
      <c r="I1204" t="inlineStr">
        <is>
          <t>Yes</t>
        </is>
      </c>
      <c r="J1204">
        <f>IF(I1204="","",IF(AND(I1204=C1204,I1204=D1204),"Both",IF(I1204=C1204,"Opus",IF(I1204=D1204,"Sonnet","Neither"))))</f>
        <v/>
      </c>
    </row>
    <row r="1205">
      <c r="A1205" t="inlineStr">
        <is>
          <t>R333</t>
        </is>
      </c>
      <c r="B1205" t="inlineStr">
        <is>
          <t>Q4</t>
        </is>
      </c>
      <c r="C1205" t="inlineStr">
        <is>
          <t>Partial</t>
        </is>
      </c>
      <c r="D1205" t="inlineStr">
        <is>
          <t>Partial</t>
        </is>
      </c>
      <c r="E1205">
        <f>VLOOKUP(C1205,CategoryMap,2,0)</f>
        <v/>
      </c>
      <c r="F1205">
        <f>VLOOKUP(D1205,CategoryMap,2,0)</f>
        <v/>
      </c>
      <c r="G1205">
        <f>ABS(E1205-F1205)</f>
        <v/>
      </c>
      <c r="H1205">
        <f>IF(G1205=0,"Yes","No")</f>
        <v/>
      </c>
      <c r="I1205" t="inlineStr">
        <is>
          <t>Partial</t>
        </is>
      </c>
      <c r="J1205">
        <f>IF(I1205="","",IF(AND(I1205=C1205,I1205=D1205),"Both",IF(I1205=C1205,"Opus",IF(I1205=D1205,"Sonnet","Neither"))))</f>
        <v/>
      </c>
    </row>
    <row r="1206">
      <c r="A1206" t="inlineStr">
        <is>
          <t>R333</t>
        </is>
      </c>
      <c r="B1206" t="inlineStr">
        <is>
          <t>Q5</t>
        </is>
      </c>
      <c r="C1206" t="inlineStr">
        <is>
          <t>Partial</t>
        </is>
      </c>
      <c r="D1206" t="inlineStr">
        <is>
          <t>Yes</t>
        </is>
      </c>
      <c r="E1206">
        <f>VLOOKUP(C1206,CategoryMap,2,0)</f>
        <v/>
      </c>
      <c r="F1206">
        <f>VLOOKUP(D1206,CategoryMap,2,0)</f>
        <v/>
      </c>
      <c r="G1206">
        <f>ABS(E1206-F1206)</f>
        <v/>
      </c>
      <c r="H1206">
        <f>IF(G1206=0,"Yes","No")</f>
        <v/>
      </c>
      <c r="I1206" t="inlineStr">
        <is>
          <t>Partial</t>
        </is>
      </c>
      <c r="J1206">
        <f>IF(I1206="","",IF(AND(I1206=C1206,I1206=D1206),"Both",IF(I1206=C1206,"Opus",IF(I1206=D1206,"Sonnet","Neither"))))</f>
        <v/>
      </c>
    </row>
    <row r="1207">
      <c r="A1207" t="inlineStr">
        <is>
          <t>R333</t>
        </is>
      </c>
      <c r="B1207" t="inlineStr">
        <is>
          <t>Q6</t>
        </is>
      </c>
      <c r="C1207" t="inlineStr">
        <is>
          <t>Partial</t>
        </is>
      </c>
      <c r="D1207" t="inlineStr">
        <is>
          <t>Yes</t>
        </is>
      </c>
      <c r="E1207">
        <f>VLOOKUP(C1207,CategoryMap,2,0)</f>
        <v/>
      </c>
      <c r="F1207">
        <f>VLOOKUP(D1207,CategoryMap,2,0)</f>
        <v/>
      </c>
      <c r="G1207">
        <f>ABS(E1207-F1207)</f>
        <v/>
      </c>
      <c r="H1207">
        <f>IF(G1207=0,"Yes","No")</f>
        <v/>
      </c>
      <c r="I1207" t="inlineStr">
        <is>
          <t>Partial</t>
        </is>
      </c>
      <c r="J1207">
        <f>IF(I1207="","",IF(AND(I1207=C1207,I1207=D1207),"Both",IF(I1207=C1207,"Opus",IF(I1207=D1207,"Sonnet","Neither"))))</f>
        <v/>
      </c>
    </row>
    <row r="1208">
      <c r="A1208" t="inlineStr">
        <is>
          <t>R333</t>
        </is>
      </c>
      <c r="B1208" t="inlineStr">
        <is>
          <t>Q7</t>
        </is>
      </c>
      <c r="C1208" t="inlineStr">
        <is>
          <t>Yes</t>
        </is>
      </c>
      <c r="D1208" t="inlineStr">
        <is>
          <t>Yes</t>
        </is>
      </c>
      <c r="E1208">
        <f>VLOOKUP(C1208,CategoryMap,2,0)</f>
        <v/>
      </c>
      <c r="F1208">
        <f>VLOOKUP(D1208,CategoryMap,2,0)</f>
        <v/>
      </c>
      <c r="G1208">
        <f>ABS(E1208-F1208)</f>
        <v/>
      </c>
      <c r="H1208">
        <f>IF(G1208=0,"Yes","No")</f>
        <v/>
      </c>
      <c r="I1208" t="inlineStr">
        <is>
          <t>Yes</t>
        </is>
      </c>
      <c r="J1208">
        <f>IF(I1208="","",IF(AND(I1208=C1208,I1208=D1208),"Both",IF(I1208=C1208,"Opus",IF(I1208=D1208,"Sonnet","Neither"))))</f>
        <v/>
      </c>
    </row>
    <row r="1209">
      <c r="A1209" t="inlineStr">
        <is>
          <t>R333</t>
        </is>
      </c>
      <c r="B1209" t="inlineStr">
        <is>
          <t>Q8</t>
        </is>
      </c>
      <c r="C1209" t="inlineStr">
        <is>
          <t>Yes</t>
        </is>
      </c>
      <c r="D1209" t="inlineStr">
        <is>
          <t>Yes</t>
        </is>
      </c>
      <c r="E1209">
        <f>VLOOKUP(C1209,CategoryMap,2,0)</f>
        <v/>
      </c>
      <c r="F1209">
        <f>VLOOKUP(D1209,CategoryMap,2,0)</f>
        <v/>
      </c>
      <c r="G1209">
        <f>ABS(E1209-F1209)</f>
        <v/>
      </c>
      <c r="H1209">
        <f>IF(G1209=0,"Yes","No")</f>
        <v/>
      </c>
      <c r="I1209" t="inlineStr">
        <is>
          <t>Yes</t>
        </is>
      </c>
      <c r="J1209">
        <f>IF(I1209="","",IF(AND(I1209=C1209,I1209=D1209),"Both",IF(I1209=C1209,"Opus",IF(I1209=D1209,"Sonnet","Neither"))))</f>
        <v/>
      </c>
    </row>
    <row r="1210">
      <c r="A1210" t="inlineStr">
        <is>
          <t>R336</t>
        </is>
      </c>
      <c r="B1210" t="inlineStr">
        <is>
          <t>Q1</t>
        </is>
      </c>
      <c r="C1210" t="inlineStr">
        <is>
          <t>Yes</t>
        </is>
      </c>
      <c r="D1210" t="inlineStr">
        <is>
          <t>Partial</t>
        </is>
      </c>
      <c r="E1210">
        <f>VLOOKUP(C1210,CategoryMap,2,0)</f>
        <v/>
      </c>
      <c r="F1210">
        <f>VLOOKUP(D1210,CategoryMap,2,0)</f>
        <v/>
      </c>
      <c r="G1210">
        <f>ABS(E1210-F1210)</f>
        <v/>
      </c>
      <c r="H1210">
        <f>IF(G1210=0,"Yes","No")</f>
        <v/>
      </c>
      <c r="I1210" t="inlineStr">
        <is>
          <t>Partial</t>
        </is>
      </c>
      <c r="J1210">
        <f>IF(I1210="","",IF(AND(I1210=C1210,I1210=D1210),"Both",IF(I1210=C1210,"Opus",IF(I1210=D1210,"Sonnet","Neither"))))</f>
        <v/>
      </c>
    </row>
    <row r="1211">
      <c r="A1211" t="inlineStr">
        <is>
          <t>R336</t>
        </is>
      </c>
      <c r="B1211" t="inlineStr">
        <is>
          <t>Q2</t>
        </is>
      </c>
      <c r="C1211" t="inlineStr">
        <is>
          <t>Partial</t>
        </is>
      </c>
      <c r="D1211" t="inlineStr">
        <is>
          <t>Yes</t>
        </is>
      </c>
      <c r="E1211">
        <f>VLOOKUP(C1211,CategoryMap,2,0)</f>
        <v/>
      </c>
      <c r="F1211">
        <f>VLOOKUP(D1211,CategoryMap,2,0)</f>
        <v/>
      </c>
      <c r="G1211">
        <f>ABS(E1211-F1211)</f>
        <v/>
      </c>
      <c r="H1211">
        <f>IF(G1211=0,"Yes","No")</f>
        <v/>
      </c>
      <c r="I1211" t="inlineStr">
        <is>
          <t>Partial</t>
        </is>
      </c>
      <c r="J1211">
        <f>IF(I1211="","",IF(AND(I1211=C1211,I1211=D1211),"Both",IF(I1211=C1211,"Opus",IF(I1211=D1211,"Sonnet","Neither"))))</f>
        <v/>
      </c>
    </row>
    <row r="1212">
      <c r="A1212" t="inlineStr">
        <is>
          <t>R336</t>
        </is>
      </c>
      <c r="B1212" t="inlineStr">
        <is>
          <t>Q3</t>
        </is>
      </c>
      <c r="C1212" t="inlineStr">
        <is>
          <t>Yes</t>
        </is>
      </c>
      <c r="D1212" t="inlineStr">
        <is>
          <t>Yes</t>
        </is>
      </c>
      <c r="E1212">
        <f>VLOOKUP(C1212,CategoryMap,2,0)</f>
        <v/>
      </c>
      <c r="F1212">
        <f>VLOOKUP(D1212,CategoryMap,2,0)</f>
        <v/>
      </c>
      <c r="G1212">
        <f>ABS(E1212-F1212)</f>
        <v/>
      </c>
      <c r="H1212">
        <f>IF(G1212=0,"Yes","No")</f>
        <v/>
      </c>
      <c r="I1212" t="inlineStr">
        <is>
          <t>Yes</t>
        </is>
      </c>
      <c r="J1212">
        <f>IF(I1212="","",IF(AND(I1212=C1212,I1212=D1212),"Both",IF(I1212=C1212,"Opus",IF(I1212=D1212,"Sonnet","Neither"))))</f>
        <v/>
      </c>
    </row>
    <row r="1213">
      <c r="A1213" t="inlineStr">
        <is>
          <t>R336</t>
        </is>
      </c>
      <c r="B1213" t="inlineStr">
        <is>
          <t>Q4</t>
        </is>
      </c>
      <c r="C1213" t="inlineStr">
        <is>
          <t>No</t>
        </is>
      </c>
      <c r="D1213" t="inlineStr">
        <is>
          <t>No</t>
        </is>
      </c>
      <c r="E1213">
        <f>VLOOKUP(C1213,CategoryMap,2,0)</f>
        <v/>
      </c>
      <c r="F1213">
        <f>VLOOKUP(D1213,CategoryMap,2,0)</f>
        <v/>
      </c>
      <c r="G1213">
        <f>ABS(E1213-F1213)</f>
        <v/>
      </c>
      <c r="H1213">
        <f>IF(G1213=0,"Yes","No")</f>
        <v/>
      </c>
      <c r="I1213" t="inlineStr">
        <is>
          <t>No</t>
        </is>
      </c>
      <c r="J1213">
        <f>IF(I1213="","",IF(AND(I1213=C1213,I1213=D1213),"Both",IF(I1213=C1213,"Opus",IF(I1213=D1213,"Sonnet","Neither"))))</f>
        <v/>
      </c>
    </row>
    <row r="1214">
      <c r="A1214" t="inlineStr">
        <is>
          <t>R336</t>
        </is>
      </c>
      <c r="B1214" t="inlineStr">
        <is>
          <t>Q5</t>
        </is>
      </c>
      <c r="C1214" t="inlineStr">
        <is>
          <t>Partial</t>
        </is>
      </c>
      <c r="D1214" t="inlineStr">
        <is>
          <t>Partial</t>
        </is>
      </c>
      <c r="E1214">
        <f>VLOOKUP(C1214,CategoryMap,2,0)</f>
        <v/>
      </c>
      <c r="F1214">
        <f>VLOOKUP(D1214,CategoryMap,2,0)</f>
        <v/>
      </c>
      <c r="G1214">
        <f>ABS(E1214-F1214)</f>
        <v/>
      </c>
      <c r="H1214">
        <f>IF(G1214=0,"Yes","No")</f>
        <v/>
      </c>
      <c r="I1214" t="inlineStr">
        <is>
          <t>Partial</t>
        </is>
      </c>
      <c r="J1214">
        <f>IF(I1214="","",IF(AND(I1214=C1214,I1214=D1214),"Both",IF(I1214=C1214,"Opus",IF(I1214=D1214,"Sonnet","Neither"))))</f>
        <v/>
      </c>
    </row>
    <row r="1215">
      <c r="A1215" t="inlineStr">
        <is>
          <t>R336</t>
        </is>
      </c>
      <c r="B1215" t="inlineStr">
        <is>
          <t>Q6</t>
        </is>
      </c>
      <c r="C1215" t="inlineStr">
        <is>
          <t>Partial</t>
        </is>
      </c>
      <c r="D1215" t="inlineStr">
        <is>
          <t>Partial</t>
        </is>
      </c>
      <c r="E1215">
        <f>VLOOKUP(C1215,CategoryMap,2,0)</f>
        <v/>
      </c>
      <c r="F1215">
        <f>VLOOKUP(D1215,CategoryMap,2,0)</f>
        <v/>
      </c>
      <c r="G1215">
        <f>ABS(E1215-F1215)</f>
        <v/>
      </c>
      <c r="H1215">
        <f>IF(G1215=0,"Yes","No")</f>
        <v/>
      </c>
      <c r="I1215" t="inlineStr">
        <is>
          <t>Partial</t>
        </is>
      </c>
      <c r="J1215">
        <f>IF(I1215="","",IF(AND(I1215=C1215,I1215=D1215),"Both",IF(I1215=C1215,"Opus",IF(I1215=D1215,"Sonnet","Neither"))))</f>
        <v/>
      </c>
    </row>
    <row r="1216">
      <c r="A1216" t="inlineStr">
        <is>
          <t>R336</t>
        </is>
      </c>
      <c r="B1216" t="inlineStr">
        <is>
          <t>Q7</t>
        </is>
      </c>
      <c r="C1216" t="inlineStr">
        <is>
          <t>No</t>
        </is>
      </c>
      <c r="D1216" t="inlineStr">
        <is>
          <t>No</t>
        </is>
      </c>
      <c r="E1216">
        <f>VLOOKUP(C1216,CategoryMap,2,0)</f>
        <v/>
      </c>
      <c r="F1216">
        <f>VLOOKUP(D1216,CategoryMap,2,0)</f>
        <v/>
      </c>
      <c r="G1216">
        <f>ABS(E1216-F1216)</f>
        <v/>
      </c>
      <c r="H1216">
        <f>IF(G1216=0,"Yes","No")</f>
        <v/>
      </c>
      <c r="I1216" t="inlineStr">
        <is>
          <t>No</t>
        </is>
      </c>
      <c r="J1216">
        <f>IF(I1216="","",IF(AND(I1216=C1216,I1216=D1216),"Both",IF(I1216=C1216,"Opus",IF(I1216=D1216,"Sonnet","Neither"))))</f>
        <v/>
      </c>
    </row>
    <row r="1217">
      <c r="A1217" t="inlineStr">
        <is>
          <t>R336</t>
        </is>
      </c>
      <c r="B1217" t="inlineStr">
        <is>
          <t>Q8</t>
        </is>
      </c>
      <c r="C1217" t="inlineStr">
        <is>
          <t>Partial</t>
        </is>
      </c>
      <c r="D1217" t="inlineStr">
        <is>
          <t>Partial</t>
        </is>
      </c>
      <c r="E1217">
        <f>VLOOKUP(C1217,CategoryMap,2,0)</f>
        <v/>
      </c>
      <c r="F1217">
        <f>VLOOKUP(D1217,CategoryMap,2,0)</f>
        <v/>
      </c>
      <c r="G1217">
        <f>ABS(E1217-F1217)</f>
        <v/>
      </c>
      <c r="H1217">
        <f>IF(G1217=0,"Yes","No")</f>
        <v/>
      </c>
      <c r="I1217" t="inlineStr">
        <is>
          <t>Partial</t>
        </is>
      </c>
      <c r="J1217">
        <f>IF(I1217="","",IF(AND(I1217=C1217,I1217=D1217),"Both",IF(I1217=C1217,"Opus",IF(I1217=D1217,"Sonnet","Neither"))))</f>
        <v/>
      </c>
    </row>
    <row r="1218">
      <c r="A1218" t="inlineStr">
        <is>
          <t>R337</t>
        </is>
      </c>
      <c r="B1218" t="inlineStr">
        <is>
          <t>Q1</t>
        </is>
      </c>
      <c r="C1218" t="inlineStr">
        <is>
          <t>Partial</t>
        </is>
      </c>
      <c r="D1218" t="inlineStr">
        <is>
          <t>Partial</t>
        </is>
      </c>
      <c r="E1218">
        <f>VLOOKUP(C1218,CategoryMap,2,0)</f>
        <v/>
      </c>
      <c r="F1218">
        <f>VLOOKUP(D1218,CategoryMap,2,0)</f>
        <v/>
      </c>
      <c r="G1218">
        <f>ABS(E1218-F1218)</f>
        <v/>
      </c>
      <c r="H1218">
        <f>IF(G1218=0,"Yes","No")</f>
        <v/>
      </c>
      <c r="I1218" t="inlineStr">
        <is>
          <t>Partial</t>
        </is>
      </c>
      <c r="J1218">
        <f>IF(I1218="","",IF(AND(I1218=C1218,I1218=D1218),"Both",IF(I1218=C1218,"Opus",IF(I1218=D1218,"Sonnet","Neither"))))</f>
        <v/>
      </c>
    </row>
    <row r="1219">
      <c r="A1219" t="inlineStr">
        <is>
          <t>R337</t>
        </is>
      </c>
      <c r="B1219" t="inlineStr">
        <is>
          <t>Q2</t>
        </is>
      </c>
      <c r="C1219" t="inlineStr">
        <is>
          <t>No</t>
        </is>
      </c>
      <c r="D1219" t="inlineStr">
        <is>
          <t>No</t>
        </is>
      </c>
      <c r="E1219">
        <f>VLOOKUP(C1219,CategoryMap,2,0)</f>
        <v/>
      </c>
      <c r="F1219">
        <f>VLOOKUP(D1219,CategoryMap,2,0)</f>
        <v/>
      </c>
      <c r="G1219">
        <f>ABS(E1219-F1219)</f>
        <v/>
      </c>
      <c r="H1219">
        <f>IF(G1219=0,"Yes","No")</f>
        <v/>
      </c>
      <c r="I1219" t="inlineStr">
        <is>
          <t>No</t>
        </is>
      </c>
      <c r="J1219">
        <f>IF(I1219="","",IF(AND(I1219=C1219,I1219=D1219),"Both",IF(I1219=C1219,"Opus",IF(I1219=D1219,"Sonnet","Neither"))))</f>
        <v/>
      </c>
    </row>
    <row r="1220">
      <c r="A1220" t="inlineStr">
        <is>
          <t>R337</t>
        </is>
      </c>
      <c r="B1220" t="inlineStr">
        <is>
          <t>Q3</t>
        </is>
      </c>
      <c r="C1220" t="inlineStr">
        <is>
          <t>Yes</t>
        </is>
      </c>
      <c r="D1220" t="inlineStr">
        <is>
          <t>Yes</t>
        </is>
      </c>
      <c r="E1220">
        <f>VLOOKUP(C1220,CategoryMap,2,0)</f>
        <v/>
      </c>
      <c r="F1220">
        <f>VLOOKUP(D1220,CategoryMap,2,0)</f>
        <v/>
      </c>
      <c r="G1220">
        <f>ABS(E1220-F1220)</f>
        <v/>
      </c>
      <c r="H1220">
        <f>IF(G1220=0,"Yes","No")</f>
        <v/>
      </c>
      <c r="I1220" t="inlineStr">
        <is>
          <t>Yes</t>
        </is>
      </c>
      <c r="J1220">
        <f>IF(I1220="","",IF(AND(I1220=C1220,I1220=D1220),"Both",IF(I1220=C1220,"Opus",IF(I1220=D1220,"Sonnet","Neither"))))</f>
        <v/>
      </c>
    </row>
    <row r="1221">
      <c r="A1221" t="inlineStr">
        <is>
          <t>R337</t>
        </is>
      </c>
      <c r="B1221" t="inlineStr">
        <is>
          <t>Q4</t>
        </is>
      </c>
      <c r="C1221" t="inlineStr">
        <is>
          <t>Partial</t>
        </is>
      </c>
      <c r="D1221" t="inlineStr">
        <is>
          <t>Yes</t>
        </is>
      </c>
      <c r="E1221">
        <f>VLOOKUP(C1221,CategoryMap,2,0)</f>
        <v/>
      </c>
      <c r="F1221">
        <f>VLOOKUP(D1221,CategoryMap,2,0)</f>
        <v/>
      </c>
      <c r="G1221">
        <f>ABS(E1221-F1221)</f>
        <v/>
      </c>
      <c r="H1221">
        <f>IF(G1221=0,"Yes","No")</f>
        <v/>
      </c>
      <c r="I1221" t="inlineStr">
        <is>
          <t>Partial</t>
        </is>
      </c>
      <c r="J1221">
        <f>IF(I1221="","",IF(AND(I1221=C1221,I1221=D1221),"Both",IF(I1221=C1221,"Opus",IF(I1221=D1221,"Sonnet","Neither"))))</f>
        <v/>
      </c>
    </row>
    <row r="1222">
      <c r="A1222" t="inlineStr">
        <is>
          <t>R337</t>
        </is>
      </c>
      <c r="B1222" t="inlineStr">
        <is>
          <t>Q5</t>
        </is>
      </c>
      <c r="C1222" t="inlineStr">
        <is>
          <t>Yes</t>
        </is>
      </c>
      <c r="D1222" t="inlineStr">
        <is>
          <t>Yes</t>
        </is>
      </c>
      <c r="E1222">
        <f>VLOOKUP(C1222,CategoryMap,2,0)</f>
        <v/>
      </c>
      <c r="F1222">
        <f>VLOOKUP(D1222,CategoryMap,2,0)</f>
        <v/>
      </c>
      <c r="G1222">
        <f>ABS(E1222-F1222)</f>
        <v/>
      </c>
      <c r="H1222">
        <f>IF(G1222=0,"Yes","No")</f>
        <v/>
      </c>
      <c r="I1222" t="inlineStr">
        <is>
          <t>Yes</t>
        </is>
      </c>
      <c r="J1222">
        <f>IF(I1222="","",IF(AND(I1222=C1222,I1222=D1222),"Both",IF(I1222=C1222,"Opus",IF(I1222=D1222,"Sonnet","Neither"))))</f>
        <v/>
      </c>
    </row>
    <row r="1223">
      <c r="A1223" t="inlineStr">
        <is>
          <t>R337</t>
        </is>
      </c>
      <c r="B1223" t="inlineStr">
        <is>
          <t>Q6</t>
        </is>
      </c>
      <c r="C1223" t="inlineStr">
        <is>
          <t>Yes</t>
        </is>
      </c>
      <c r="D1223" t="inlineStr">
        <is>
          <t>Yes</t>
        </is>
      </c>
      <c r="E1223">
        <f>VLOOKUP(C1223,CategoryMap,2,0)</f>
        <v/>
      </c>
      <c r="F1223">
        <f>VLOOKUP(D1223,CategoryMap,2,0)</f>
        <v/>
      </c>
      <c r="G1223">
        <f>ABS(E1223-F1223)</f>
        <v/>
      </c>
      <c r="H1223">
        <f>IF(G1223=0,"Yes","No")</f>
        <v/>
      </c>
      <c r="I1223" t="inlineStr">
        <is>
          <t>Yes</t>
        </is>
      </c>
      <c r="J1223">
        <f>IF(I1223="","",IF(AND(I1223=C1223,I1223=D1223),"Both",IF(I1223=C1223,"Opus",IF(I1223=D1223,"Sonnet","Neither"))))</f>
        <v/>
      </c>
    </row>
    <row r="1224">
      <c r="A1224" t="inlineStr">
        <is>
          <t>R337</t>
        </is>
      </c>
      <c r="B1224" t="inlineStr">
        <is>
          <t>Q7</t>
        </is>
      </c>
      <c r="C1224" t="inlineStr">
        <is>
          <t>Yes</t>
        </is>
      </c>
      <c r="D1224" t="inlineStr">
        <is>
          <t>Yes</t>
        </is>
      </c>
      <c r="E1224">
        <f>VLOOKUP(C1224,CategoryMap,2,0)</f>
        <v/>
      </c>
      <c r="F1224">
        <f>VLOOKUP(D1224,CategoryMap,2,0)</f>
        <v/>
      </c>
      <c r="G1224">
        <f>ABS(E1224-F1224)</f>
        <v/>
      </c>
      <c r="H1224">
        <f>IF(G1224=0,"Yes","No")</f>
        <v/>
      </c>
      <c r="I1224" t="inlineStr">
        <is>
          <t>Yes</t>
        </is>
      </c>
      <c r="J1224">
        <f>IF(I1224="","",IF(AND(I1224=C1224,I1224=D1224),"Both",IF(I1224=C1224,"Opus",IF(I1224=D1224,"Sonnet","Neither"))))</f>
        <v/>
      </c>
    </row>
    <row r="1225">
      <c r="A1225" t="inlineStr">
        <is>
          <t>R337</t>
        </is>
      </c>
      <c r="B1225" t="inlineStr">
        <is>
          <t>Q8</t>
        </is>
      </c>
      <c r="C1225" t="inlineStr">
        <is>
          <t>Partial</t>
        </is>
      </c>
      <c r="D1225" t="inlineStr">
        <is>
          <t>Partial</t>
        </is>
      </c>
      <c r="E1225">
        <f>VLOOKUP(C1225,CategoryMap,2,0)</f>
        <v/>
      </c>
      <c r="F1225">
        <f>VLOOKUP(D1225,CategoryMap,2,0)</f>
        <v/>
      </c>
      <c r="G1225">
        <f>ABS(E1225-F1225)</f>
        <v/>
      </c>
      <c r="H1225">
        <f>IF(G1225=0,"Yes","No")</f>
        <v/>
      </c>
      <c r="I1225" t="inlineStr">
        <is>
          <t>Partial</t>
        </is>
      </c>
      <c r="J1225">
        <f>IF(I1225="","",IF(AND(I1225=C1225,I1225=D1225),"Both",IF(I1225=C1225,"Opus",IF(I1225=D1225,"Sonnet","Neither"))))</f>
        <v/>
      </c>
    </row>
    <row r="1226">
      <c r="A1226" t="inlineStr">
        <is>
          <t>R339</t>
        </is>
      </c>
      <c r="B1226" t="inlineStr">
        <is>
          <t>Q1</t>
        </is>
      </c>
      <c r="C1226" t="inlineStr">
        <is>
          <t>Yes</t>
        </is>
      </c>
      <c r="D1226" t="inlineStr">
        <is>
          <t>Yes</t>
        </is>
      </c>
      <c r="E1226">
        <f>VLOOKUP(C1226,CategoryMap,2,0)</f>
        <v/>
      </c>
      <c r="F1226">
        <f>VLOOKUP(D1226,CategoryMap,2,0)</f>
        <v/>
      </c>
      <c r="G1226">
        <f>ABS(E1226-F1226)</f>
        <v/>
      </c>
      <c r="H1226">
        <f>IF(G1226=0,"Yes","No")</f>
        <v/>
      </c>
      <c r="I1226" t="inlineStr">
        <is>
          <t>Yes</t>
        </is>
      </c>
      <c r="J1226">
        <f>IF(I1226="","",IF(AND(I1226=C1226,I1226=D1226),"Both",IF(I1226=C1226,"Opus",IF(I1226=D1226,"Sonnet","Neither"))))</f>
        <v/>
      </c>
    </row>
    <row r="1227">
      <c r="A1227" t="inlineStr">
        <is>
          <t>R339</t>
        </is>
      </c>
      <c r="B1227" t="inlineStr">
        <is>
          <t>Q2</t>
        </is>
      </c>
      <c r="C1227" t="inlineStr">
        <is>
          <t>Yes</t>
        </is>
      </c>
      <c r="D1227" t="inlineStr">
        <is>
          <t>Yes</t>
        </is>
      </c>
      <c r="E1227">
        <f>VLOOKUP(C1227,CategoryMap,2,0)</f>
        <v/>
      </c>
      <c r="F1227">
        <f>VLOOKUP(D1227,CategoryMap,2,0)</f>
        <v/>
      </c>
      <c r="G1227">
        <f>ABS(E1227-F1227)</f>
        <v/>
      </c>
      <c r="H1227">
        <f>IF(G1227=0,"Yes","No")</f>
        <v/>
      </c>
      <c r="I1227" t="inlineStr">
        <is>
          <t>Yes</t>
        </is>
      </c>
      <c r="J1227">
        <f>IF(I1227="","",IF(AND(I1227=C1227,I1227=D1227),"Both",IF(I1227=C1227,"Opus",IF(I1227=D1227,"Sonnet","Neither"))))</f>
        <v/>
      </c>
    </row>
    <row r="1228">
      <c r="A1228" t="inlineStr">
        <is>
          <t>R339</t>
        </is>
      </c>
      <c r="B1228" t="inlineStr">
        <is>
          <t>Q3</t>
        </is>
      </c>
      <c r="C1228" t="inlineStr">
        <is>
          <t>Yes</t>
        </is>
      </c>
      <c r="D1228" t="inlineStr">
        <is>
          <t>Yes</t>
        </is>
      </c>
      <c r="E1228">
        <f>VLOOKUP(C1228,CategoryMap,2,0)</f>
        <v/>
      </c>
      <c r="F1228">
        <f>VLOOKUP(D1228,CategoryMap,2,0)</f>
        <v/>
      </c>
      <c r="G1228">
        <f>ABS(E1228-F1228)</f>
        <v/>
      </c>
      <c r="H1228">
        <f>IF(G1228=0,"Yes","No")</f>
        <v/>
      </c>
      <c r="I1228" t="inlineStr">
        <is>
          <t>Yes</t>
        </is>
      </c>
      <c r="J1228">
        <f>IF(I1228="","",IF(AND(I1228=C1228,I1228=D1228),"Both",IF(I1228=C1228,"Opus",IF(I1228=D1228,"Sonnet","Neither"))))</f>
        <v/>
      </c>
    </row>
    <row r="1229">
      <c r="A1229" t="inlineStr">
        <is>
          <t>R339</t>
        </is>
      </c>
      <c r="B1229" t="inlineStr">
        <is>
          <t>Q4</t>
        </is>
      </c>
      <c r="C1229" t="inlineStr">
        <is>
          <t>Partial</t>
        </is>
      </c>
      <c r="D1229" t="inlineStr">
        <is>
          <t>Partial</t>
        </is>
      </c>
      <c r="E1229">
        <f>VLOOKUP(C1229,CategoryMap,2,0)</f>
        <v/>
      </c>
      <c r="F1229">
        <f>VLOOKUP(D1229,CategoryMap,2,0)</f>
        <v/>
      </c>
      <c r="G1229">
        <f>ABS(E1229-F1229)</f>
        <v/>
      </c>
      <c r="H1229">
        <f>IF(G1229=0,"Yes","No")</f>
        <v/>
      </c>
      <c r="I1229" t="inlineStr">
        <is>
          <t>Partial</t>
        </is>
      </c>
      <c r="J1229">
        <f>IF(I1229="","",IF(AND(I1229=C1229,I1229=D1229),"Both",IF(I1229=C1229,"Opus",IF(I1229=D1229,"Sonnet","Neither"))))</f>
        <v/>
      </c>
    </row>
    <row r="1230">
      <c r="A1230" t="inlineStr">
        <is>
          <t>R339</t>
        </is>
      </c>
      <c r="B1230" t="inlineStr">
        <is>
          <t>Q5</t>
        </is>
      </c>
      <c r="C1230" t="inlineStr">
        <is>
          <t>Yes</t>
        </is>
      </c>
      <c r="D1230" t="inlineStr">
        <is>
          <t>Yes</t>
        </is>
      </c>
      <c r="E1230">
        <f>VLOOKUP(C1230,CategoryMap,2,0)</f>
        <v/>
      </c>
      <c r="F1230">
        <f>VLOOKUP(D1230,CategoryMap,2,0)</f>
        <v/>
      </c>
      <c r="G1230">
        <f>ABS(E1230-F1230)</f>
        <v/>
      </c>
      <c r="H1230">
        <f>IF(G1230=0,"Yes","No")</f>
        <v/>
      </c>
      <c r="I1230" t="inlineStr">
        <is>
          <t>Yes</t>
        </is>
      </c>
      <c r="J1230">
        <f>IF(I1230="","",IF(AND(I1230=C1230,I1230=D1230),"Both",IF(I1230=C1230,"Opus",IF(I1230=D1230,"Sonnet","Neither"))))</f>
        <v/>
      </c>
    </row>
    <row r="1231">
      <c r="A1231" t="inlineStr">
        <is>
          <t>R339</t>
        </is>
      </c>
      <c r="B1231" t="inlineStr">
        <is>
          <t>Q6</t>
        </is>
      </c>
      <c r="C1231" t="inlineStr">
        <is>
          <t>Yes</t>
        </is>
      </c>
      <c r="D1231" t="inlineStr">
        <is>
          <t>Yes</t>
        </is>
      </c>
      <c r="E1231">
        <f>VLOOKUP(C1231,CategoryMap,2,0)</f>
        <v/>
      </c>
      <c r="F1231">
        <f>VLOOKUP(D1231,CategoryMap,2,0)</f>
        <v/>
      </c>
      <c r="G1231">
        <f>ABS(E1231-F1231)</f>
        <v/>
      </c>
      <c r="H1231">
        <f>IF(G1231=0,"Yes","No")</f>
        <v/>
      </c>
      <c r="I1231" t="inlineStr">
        <is>
          <t>Yes</t>
        </is>
      </c>
      <c r="J1231">
        <f>IF(I1231="","",IF(AND(I1231=C1231,I1231=D1231),"Both",IF(I1231=C1231,"Opus",IF(I1231=D1231,"Sonnet","Neither"))))</f>
        <v/>
      </c>
    </row>
    <row r="1232">
      <c r="A1232" t="inlineStr">
        <is>
          <t>R339</t>
        </is>
      </c>
      <c r="B1232" t="inlineStr">
        <is>
          <t>Q7</t>
        </is>
      </c>
      <c r="C1232" t="inlineStr">
        <is>
          <t>Yes</t>
        </is>
      </c>
      <c r="D1232" t="inlineStr">
        <is>
          <t>Yes</t>
        </is>
      </c>
      <c r="E1232">
        <f>VLOOKUP(C1232,CategoryMap,2,0)</f>
        <v/>
      </c>
      <c r="F1232">
        <f>VLOOKUP(D1232,CategoryMap,2,0)</f>
        <v/>
      </c>
      <c r="G1232">
        <f>ABS(E1232-F1232)</f>
        <v/>
      </c>
      <c r="H1232">
        <f>IF(G1232=0,"Yes","No")</f>
        <v/>
      </c>
      <c r="I1232" t="inlineStr">
        <is>
          <t>Yes</t>
        </is>
      </c>
      <c r="J1232">
        <f>IF(I1232="","",IF(AND(I1232=C1232,I1232=D1232),"Both",IF(I1232=C1232,"Opus",IF(I1232=D1232,"Sonnet","Neither"))))</f>
        <v/>
      </c>
    </row>
    <row r="1233">
      <c r="A1233" t="inlineStr">
        <is>
          <t>R339</t>
        </is>
      </c>
      <c r="B1233" t="inlineStr">
        <is>
          <t>Q8</t>
        </is>
      </c>
      <c r="C1233" t="inlineStr">
        <is>
          <t>Yes</t>
        </is>
      </c>
      <c r="D1233" t="inlineStr">
        <is>
          <t>Partial</t>
        </is>
      </c>
      <c r="E1233">
        <f>VLOOKUP(C1233,CategoryMap,2,0)</f>
        <v/>
      </c>
      <c r="F1233">
        <f>VLOOKUP(D1233,CategoryMap,2,0)</f>
        <v/>
      </c>
      <c r="G1233">
        <f>ABS(E1233-F1233)</f>
        <v/>
      </c>
      <c r="H1233">
        <f>IF(G1233=0,"Yes","No")</f>
        <v/>
      </c>
      <c r="I1233" t="inlineStr">
        <is>
          <t>Yes</t>
        </is>
      </c>
      <c r="J1233">
        <f>IF(I1233="","",IF(AND(I1233=C1233,I1233=D1233),"Both",IF(I1233=C1233,"Opus",IF(I1233=D1233,"Sonnet","Neither"))))</f>
        <v/>
      </c>
    </row>
    <row r="1234">
      <c r="A1234" t="inlineStr">
        <is>
          <t>R340</t>
        </is>
      </c>
      <c r="B1234" t="inlineStr">
        <is>
          <t>Q1</t>
        </is>
      </c>
      <c r="C1234" t="inlineStr">
        <is>
          <t>Partial</t>
        </is>
      </c>
      <c r="D1234" t="inlineStr">
        <is>
          <t>Partial</t>
        </is>
      </c>
      <c r="E1234">
        <f>VLOOKUP(C1234,CategoryMap,2,0)</f>
        <v/>
      </c>
      <c r="F1234">
        <f>VLOOKUP(D1234,CategoryMap,2,0)</f>
        <v/>
      </c>
      <c r="G1234">
        <f>ABS(E1234-F1234)</f>
        <v/>
      </c>
      <c r="H1234">
        <f>IF(G1234=0,"Yes","No")</f>
        <v/>
      </c>
      <c r="I1234" t="inlineStr">
        <is>
          <t>Partial</t>
        </is>
      </c>
      <c r="J1234">
        <f>IF(I1234="","",IF(AND(I1234=C1234,I1234=D1234),"Both",IF(I1234=C1234,"Opus",IF(I1234=D1234,"Sonnet","Neither"))))</f>
        <v/>
      </c>
    </row>
    <row r="1235">
      <c r="A1235" t="inlineStr">
        <is>
          <t>R340</t>
        </is>
      </c>
      <c r="B1235" t="inlineStr">
        <is>
          <t>Q2</t>
        </is>
      </c>
      <c r="C1235" t="inlineStr">
        <is>
          <t>Yes</t>
        </is>
      </c>
      <c r="D1235" t="inlineStr">
        <is>
          <t>Partial</t>
        </is>
      </c>
      <c r="E1235">
        <f>VLOOKUP(C1235,CategoryMap,2,0)</f>
        <v/>
      </c>
      <c r="F1235">
        <f>VLOOKUP(D1235,CategoryMap,2,0)</f>
        <v/>
      </c>
      <c r="G1235">
        <f>ABS(E1235-F1235)</f>
        <v/>
      </c>
      <c r="H1235">
        <f>IF(G1235=0,"Yes","No")</f>
        <v/>
      </c>
      <c r="I1235" t="inlineStr">
        <is>
          <t>Partial</t>
        </is>
      </c>
      <c r="J1235">
        <f>IF(I1235="","",IF(AND(I1235=C1235,I1235=D1235),"Both",IF(I1235=C1235,"Opus",IF(I1235=D1235,"Sonnet","Neither"))))</f>
        <v/>
      </c>
    </row>
    <row r="1236">
      <c r="A1236" t="inlineStr">
        <is>
          <t>R340</t>
        </is>
      </c>
      <c r="B1236" t="inlineStr">
        <is>
          <t>Q3</t>
        </is>
      </c>
      <c r="C1236" t="inlineStr">
        <is>
          <t>Yes</t>
        </is>
      </c>
      <c r="D1236" t="inlineStr">
        <is>
          <t>Partial</t>
        </is>
      </c>
      <c r="E1236">
        <f>VLOOKUP(C1236,CategoryMap,2,0)</f>
        <v/>
      </c>
      <c r="F1236">
        <f>VLOOKUP(D1236,CategoryMap,2,0)</f>
        <v/>
      </c>
      <c r="G1236">
        <f>ABS(E1236-F1236)</f>
        <v/>
      </c>
      <c r="H1236">
        <f>IF(G1236=0,"Yes","No")</f>
        <v/>
      </c>
      <c r="I1236" t="inlineStr">
        <is>
          <t>Partial</t>
        </is>
      </c>
      <c r="J1236">
        <f>IF(I1236="","",IF(AND(I1236=C1236,I1236=D1236),"Both",IF(I1236=C1236,"Opus",IF(I1236=D1236,"Sonnet","Neither"))))</f>
        <v/>
      </c>
    </row>
    <row r="1237">
      <c r="A1237" t="inlineStr">
        <is>
          <t>R340</t>
        </is>
      </c>
      <c r="B1237" t="inlineStr">
        <is>
          <t>Q4</t>
        </is>
      </c>
      <c r="C1237" t="inlineStr">
        <is>
          <t>Partial</t>
        </is>
      </c>
      <c r="D1237" t="inlineStr">
        <is>
          <t>Partial</t>
        </is>
      </c>
      <c r="E1237">
        <f>VLOOKUP(C1237,CategoryMap,2,0)</f>
        <v/>
      </c>
      <c r="F1237">
        <f>VLOOKUP(D1237,CategoryMap,2,0)</f>
        <v/>
      </c>
      <c r="G1237">
        <f>ABS(E1237-F1237)</f>
        <v/>
      </c>
      <c r="H1237">
        <f>IF(G1237=0,"Yes","No")</f>
        <v/>
      </c>
      <c r="I1237" t="inlineStr">
        <is>
          <t>Partial</t>
        </is>
      </c>
      <c r="J1237">
        <f>IF(I1237="","",IF(AND(I1237=C1237,I1237=D1237),"Both",IF(I1237=C1237,"Opus",IF(I1237=D1237,"Sonnet","Neither"))))</f>
        <v/>
      </c>
    </row>
    <row r="1238">
      <c r="A1238" t="inlineStr">
        <is>
          <t>R340</t>
        </is>
      </c>
      <c r="B1238" t="inlineStr">
        <is>
          <t>Q5</t>
        </is>
      </c>
      <c r="C1238" t="inlineStr">
        <is>
          <t>Partial</t>
        </is>
      </c>
      <c r="D1238" t="inlineStr">
        <is>
          <t>No</t>
        </is>
      </c>
      <c r="E1238">
        <f>VLOOKUP(C1238,CategoryMap,2,0)</f>
        <v/>
      </c>
      <c r="F1238">
        <f>VLOOKUP(D1238,CategoryMap,2,0)</f>
        <v/>
      </c>
      <c r="G1238">
        <f>ABS(E1238-F1238)</f>
        <v/>
      </c>
      <c r="H1238">
        <f>IF(G1238=0,"Yes","No")</f>
        <v/>
      </c>
      <c r="I1238" t="inlineStr">
        <is>
          <t>No</t>
        </is>
      </c>
      <c r="J1238">
        <f>IF(I1238="","",IF(AND(I1238=C1238,I1238=D1238),"Both",IF(I1238=C1238,"Opus",IF(I1238=D1238,"Sonnet","Neither"))))</f>
        <v/>
      </c>
    </row>
    <row r="1239">
      <c r="A1239" t="inlineStr">
        <is>
          <t>R340</t>
        </is>
      </c>
      <c r="B1239" t="inlineStr">
        <is>
          <t>Q6</t>
        </is>
      </c>
      <c r="C1239" t="inlineStr">
        <is>
          <t>No</t>
        </is>
      </c>
      <c r="D1239" t="inlineStr">
        <is>
          <t>No</t>
        </is>
      </c>
      <c r="E1239">
        <f>VLOOKUP(C1239,CategoryMap,2,0)</f>
        <v/>
      </c>
      <c r="F1239">
        <f>VLOOKUP(D1239,CategoryMap,2,0)</f>
        <v/>
      </c>
      <c r="G1239">
        <f>ABS(E1239-F1239)</f>
        <v/>
      </c>
      <c r="H1239">
        <f>IF(G1239=0,"Yes","No")</f>
        <v/>
      </c>
      <c r="I1239" t="inlineStr">
        <is>
          <t>No</t>
        </is>
      </c>
      <c r="J1239">
        <f>IF(I1239="","",IF(AND(I1239=C1239,I1239=D1239),"Both",IF(I1239=C1239,"Opus",IF(I1239=D1239,"Sonnet","Neither"))))</f>
        <v/>
      </c>
    </row>
    <row r="1240">
      <c r="A1240" t="inlineStr">
        <is>
          <t>R340</t>
        </is>
      </c>
      <c r="B1240" t="inlineStr">
        <is>
          <t>Q7</t>
        </is>
      </c>
      <c r="C1240" t="inlineStr">
        <is>
          <t>Partial</t>
        </is>
      </c>
      <c r="D1240" t="inlineStr">
        <is>
          <t>Partial</t>
        </is>
      </c>
      <c r="E1240">
        <f>VLOOKUP(C1240,CategoryMap,2,0)</f>
        <v/>
      </c>
      <c r="F1240">
        <f>VLOOKUP(D1240,CategoryMap,2,0)</f>
        <v/>
      </c>
      <c r="G1240">
        <f>ABS(E1240-F1240)</f>
        <v/>
      </c>
      <c r="H1240">
        <f>IF(G1240=0,"Yes","No")</f>
        <v/>
      </c>
      <c r="I1240" t="inlineStr">
        <is>
          <t>Partial</t>
        </is>
      </c>
      <c r="J1240">
        <f>IF(I1240="","",IF(AND(I1240=C1240,I1240=D1240),"Both",IF(I1240=C1240,"Opus",IF(I1240=D1240,"Sonnet","Neither"))))</f>
        <v/>
      </c>
    </row>
    <row r="1241">
      <c r="A1241" t="inlineStr">
        <is>
          <t>R340</t>
        </is>
      </c>
      <c r="B1241" t="inlineStr">
        <is>
          <t>Q8</t>
        </is>
      </c>
      <c r="C1241" t="inlineStr">
        <is>
          <t>Partial</t>
        </is>
      </c>
      <c r="D1241" t="inlineStr">
        <is>
          <t>No</t>
        </is>
      </c>
      <c r="E1241">
        <f>VLOOKUP(C1241,CategoryMap,2,0)</f>
        <v/>
      </c>
      <c r="F1241">
        <f>VLOOKUP(D1241,CategoryMap,2,0)</f>
        <v/>
      </c>
      <c r="G1241">
        <f>ABS(E1241-F1241)</f>
        <v/>
      </c>
      <c r="H1241">
        <f>IF(G1241=0,"Yes","No")</f>
        <v/>
      </c>
      <c r="I1241" t="inlineStr">
        <is>
          <t>No</t>
        </is>
      </c>
      <c r="J1241">
        <f>IF(I1241="","",IF(AND(I1241=C1241,I1241=D1241),"Both",IF(I1241=C1241,"Opus",IF(I1241=D1241,"Sonnet","Neither"))))</f>
        <v/>
      </c>
    </row>
    <row r="1242">
      <c r="A1242" t="inlineStr">
        <is>
          <t>R345</t>
        </is>
      </c>
      <c r="B1242" t="inlineStr">
        <is>
          <t>Q1</t>
        </is>
      </c>
      <c r="C1242" t="inlineStr">
        <is>
          <t>Yes</t>
        </is>
      </c>
      <c r="D1242" t="inlineStr">
        <is>
          <t>Partial</t>
        </is>
      </c>
      <c r="E1242">
        <f>VLOOKUP(C1242,CategoryMap,2,0)</f>
        <v/>
      </c>
      <c r="F1242">
        <f>VLOOKUP(D1242,CategoryMap,2,0)</f>
        <v/>
      </c>
      <c r="G1242">
        <f>ABS(E1242-F1242)</f>
        <v/>
      </c>
      <c r="H1242">
        <f>IF(G1242=0,"Yes","No")</f>
        <v/>
      </c>
      <c r="I1242" t="inlineStr">
        <is>
          <t>Yes</t>
        </is>
      </c>
      <c r="J1242">
        <f>IF(I1242="","",IF(AND(I1242=C1242,I1242=D1242),"Both",IF(I1242=C1242,"Opus",IF(I1242=D1242,"Sonnet","Neither"))))</f>
        <v/>
      </c>
    </row>
    <row r="1243">
      <c r="A1243" t="inlineStr">
        <is>
          <t>R345</t>
        </is>
      </c>
      <c r="B1243" t="inlineStr">
        <is>
          <t>Q2</t>
        </is>
      </c>
      <c r="C1243" t="inlineStr">
        <is>
          <t>Yes</t>
        </is>
      </c>
      <c r="D1243" t="inlineStr">
        <is>
          <t>Partial</t>
        </is>
      </c>
      <c r="E1243">
        <f>VLOOKUP(C1243,CategoryMap,2,0)</f>
        <v/>
      </c>
      <c r="F1243">
        <f>VLOOKUP(D1243,CategoryMap,2,0)</f>
        <v/>
      </c>
      <c r="G1243">
        <f>ABS(E1243-F1243)</f>
        <v/>
      </c>
      <c r="H1243">
        <f>IF(G1243=0,"Yes","No")</f>
        <v/>
      </c>
      <c r="I1243" t="inlineStr">
        <is>
          <t>Partial</t>
        </is>
      </c>
      <c r="J1243">
        <f>IF(I1243="","",IF(AND(I1243=C1243,I1243=D1243),"Both",IF(I1243=C1243,"Opus",IF(I1243=D1243,"Sonnet","Neither"))))</f>
        <v/>
      </c>
    </row>
    <row r="1244">
      <c r="A1244" t="inlineStr">
        <is>
          <t>R345</t>
        </is>
      </c>
      <c r="B1244" t="inlineStr">
        <is>
          <t>Q3</t>
        </is>
      </c>
      <c r="C1244" t="inlineStr">
        <is>
          <t>Yes</t>
        </is>
      </c>
      <c r="D1244" t="inlineStr">
        <is>
          <t>Yes</t>
        </is>
      </c>
      <c r="E1244">
        <f>VLOOKUP(C1244,CategoryMap,2,0)</f>
        <v/>
      </c>
      <c r="F1244">
        <f>VLOOKUP(D1244,CategoryMap,2,0)</f>
        <v/>
      </c>
      <c r="G1244">
        <f>ABS(E1244-F1244)</f>
        <v/>
      </c>
      <c r="H1244">
        <f>IF(G1244=0,"Yes","No")</f>
        <v/>
      </c>
      <c r="I1244" t="inlineStr">
        <is>
          <t>Yes</t>
        </is>
      </c>
      <c r="J1244">
        <f>IF(I1244="","",IF(AND(I1244=C1244,I1244=D1244),"Both",IF(I1244=C1244,"Opus",IF(I1244=D1244,"Sonnet","Neither"))))</f>
        <v/>
      </c>
    </row>
    <row r="1245">
      <c r="A1245" t="inlineStr">
        <is>
          <t>R345</t>
        </is>
      </c>
      <c r="B1245" t="inlineStr">
        <is>
          <t>Q4</t>
        </is>
      </c>
      <c r="C1245" t="inlineStr">
        <is>
          <t>Partial</t>
        </is>
      </c>
      <c r="D1245" t="inlineStr">
        <is>
          <t>Partial</t>
        </is>
      </c>
      <c r="E1245">
        <f>VLOOKUP(C1245,CategoryMap,2,0)</f>
        <v/>
      </c>
      <c r="F1245">
        <f>VLOOKUP(D1245,CategoryMap,2,0)</f>
        <v/>
      </c>
      <c r="G1245">
        <f>ABS(E1245-F1245)</f>
        <v/>
      </c>
      <c r="H1245">
        <f>IF(G1245=0,"Yes","No")</f>
        <v/>
      </c>
      <c r="I1245" t="inlineStr">
        <is>
          <t>Partial</t>
        </is>
      </c>
      <c r="J1245">
        <f>IF(I1245="","",IF(AND(I1245=C1245,I1245=D1245),"Both",IF(I1245=C1245,"Opus",IF(I1245=D1245,"Sonnet","Neither"))))</f>
        <v/>
      </c>
    </row>
    <row r="1246">
      <c r="A1246" t="inlineStr">
        <is>
          <t>R345</t>
        </is>
      </c>
      <c r="B1246" t="inlineStr">
        <is>
          <t>Q5</t>
        </is>
      </c>
      <c r="C1246" t="inlineStr">
        <is>
          <t>Yes</t>
        </is>
      </c>
      <c r="D1246" t="inlineStr">
        <is>
          <t>Yes</t>
        </is>
      </c>
      <c r="E1246">
        <f>VLOOKUP(C1246,CategoryMap,2,0)</f>
        <v/>
      </c>
      <c r="F1246">
        <f>VLOOKUP(D1246,CategoryMap,2,0)</f>
        <v/>
      </c>
      <c r="G1246">
        <f>ABS(E1246-F1246)</f>
        <v/>
      </c>
      <c r="H1246">
        <f>IF(G1246=0,"Yes","No")</f>
        <v/>
      </c>
      <c r="I1246" t="inlineStr">
        <is>
          <t>Yes</t>
        </is>
      </c>
      <c r="J1246">
        <f>IF(I1246="","",IF(AND(I1246=C1246,I1246=D1246),"Both",IF(I1246=C1246,"Opus",IF(I1246=D1246,"Sonnet","Neither"))))</f>
        <v/>
      </c>
    </row>
    <row r="1247">
      <c r="A1247" t="inlineStr">
        <is>
          <t>R345</t>
        </is>
      </c>
      <c r="B1247" t="inlineStr">
        <is>
          <t>Q6</t>
        </is>
      </c>
      <c r="C1247" t="inlineStr">
        <is>
          <t>Yes</t>
        </is>
      </c>
      <c r="D1247" t="inlineStr">
        <is>
          <t>Yes</t>
        </is>
      </c>
      <c r="E1247">
        <f>VLOOKUP(C1247,CategoryMap,2,0)</f>
        <v/>
      </c>
      <c r="F1247">
        <f>VLOOKUP(D1247,CategoryMap,2,0)</f>
        <v/>
      </c>
      <c r="G1247">
        <f>ABS(E1247-F1247)</f>
        <v/>
      </c>
      <c r="H1247">
        <f>IF(G1247=0,"Yes","No")</f>
        <v/>
      </c>
      <c r="I1247" t="inlineStr">
        <is>
          <t>Yes</t>
        </is>
      </c>
      <c r="J1247">
        <f>IF(I1247="","",IF(AND(I1247=C1247,I1247=D1247),"Both",IF(I1247=C1247,"Opus",IF(I1247=D1247,"Sonnet","Neither"))))</f>
        <v/>
      </c>
    </row>
    <row r="1248">
      <c r="A1248" t="inlineStr">
        <is>
          <t>R345</t>
        </is>
      </c>
      <c r="B1248" t="inlineStr">
        <is>
          <t>Q7</t>
        </is>
      </c>
      <c r="C1248" t="inlineStr">
        <is>
          <t>Partial</t>
        </is>
      </c>
      <c r="D1248" t="inlineStr">
        <is>
          <t>No</t>
        </is>
      </c>
      <c r="E1248">
        <f>VLOOKUP(C1248,CategoryMap,2,0)</f>
        <v/>
      </c>
      <c r="F1248">
        <f>VLOOKUP(D1248,CategoryMap,2,0)</f>
        <v/>
      </c>
      <c r="G1248">
        <f>ABS(E1248-F1248)</f>
        <v/>
      </c>
      <c r="H1248">
        <f>IF(G1248=0,"Yes","No")</f>
        <v/>
      </c>
      <c r="I1248" t="inlineStr">
        <is>
          <t>No</t>
        </is>
      </c>
      <c r="J1248">
        <f>IF(I1248="","",IF(AND(I1248=C1248,I1248=D1248),"Both",IF(I1248=C1248,"Opus",IF(I1248=D1248,"Sonnet","Neither"))))</f>
        <v/>
      </c>
    </row>
    <row r="1249">
      <c r="A1249" t="inlineStr">
        <is>
          <t>R345</t>
        </is>
      </c>
      <c r="B1249" t="inlineStr">
        <is>
          <t>Q8</t>
        </is>
      </c>
      <c r="C1249" t="inlineStr">
        <is>
          <t>Yes</t>
        </is>
      </c>
      <c r="D1249" t="inlineStr">
        <is>
          <t>Partial</t>
        </is>
      </c>
      <c r="E1249">
        <f>VLOOKUP(C1249,CategoryMap,2,0)</f>
        <v/>
      </c>
      <c r="F1249">
        <f>VLOOKUP(D1249,CategoryMap,2,0)</f>
        <v/>
      </c>
      <c r="G1249">
        <f>ABS(E1249-F1249)</f>
        <v/>
      </c>
      <c r="H1249">
        <f>IF(G1249=0,"Yes","No")</f>
        <v/>
      </c>
      <c r="I1249" t="inlineStr">
        <is>
          <t>Yes</t>
        </is>
      </c>
      <c r="J1249">
        <f>IF(I1249="","",IF(AND(I1249=C1249,I1249=D1249),"Both",IF(I1249=C1249,"Opus",IF(I1249=D1249,"Sonnet","Neither"))))</f>
        <v/>
      </c>
    </row>
    <row r="1250">
      <c r="A1250" t="inlineStr">
        <is>
          <t>R347</t>
        </is>
      </c>
      <c r="B1250" t="inlineStr">
        <is>
          <t>Q1</t>
        </is>
      </c>
      <c r="C1250" t="inlineStr">
        <is>
          <t>Partial</t>
        </is>
      </c>
      <c r="D1250" t="inlineStr">
        <is>
          <t>No</t>
        </is>
      </c>
      <c r="E1250">
        <f>VLOOKUP(C1250,CategoryMap,2,0)</f>
        <v/>
      </c>
      <c r="F1250">
        <f>VLOOKUP(D1250,CategoryMap,2,0)</f>
        <v/>
      </c>
      <c r="G1250">
        <f>ABS(E1250-F1250)</f>
        <v/>
      </c>
      <c r="H1250">
        <f>IF(G1250=0,"Yes","No")</f>
        <v/>
      </c>
      <c r="I1250" t="inlineStr">
        <is>
          <t>No</t>
        </is>
      </c>
      <c r="J1250">
        <f>IF(I1250="","",IF(AND(I1250=C1250,I1250=D1250),"Both",IF(I1250=C1250,"Opus",IF(I1250=D1250,"Sonnet","Neither"))))</f>
        <v/>
      </c>
    </row>
    <row r="1251">
      <c r="A1251" t="inlineStr">
        <is>
          <t>R347</t>
        </is>
      </c>
      <c r="B1251" t="inlineStr">
        <is>
          <t>Q2</t>
        </is>
      </c>
      <c r="C1251" t="inlineStr">
        <is>
          <t>Partial</t>
        </is>
      </c>
      <c r="D1251" t="inlineStr">
        <is>
          <t>Partial</t>
        </is>
      </c>
      <c r="E1251">
        <f>VLOOKUP(C1251,CategoryMap,2,0)</f>
        <v/>
      </c>
      <c r="F1251">
        <f>VLOOKUP(D1251,CategoryMap,2,0)</f>
        <v/>
      </c>
      <c r="G1251">
        <f>ABS(E1251-F1251)</f>
        <v/>
      </c>
      <c r="H1251">
        <f>IF(G1251=0,"Yes","No")</f>
        <v/>
      </c>
      <c r="I1251" t="inlineStr">
        <is>
          <t>Partial</t>
        </is>
      </c>
      <c r="J1251">
        <f>IF(I1251="","",IF(AND(I1251=C1251,I1251=D1251),"Both",IF(I1251=C1251,"Opus",IF(I1251=D1251,"Sonnet","Neither"))))</f>
        <v/>
      </c>
    </row>
    <row r="1252">
      <c r="A1252" t="inlineStr">
        <is>
          <t>R347</t>
        </is>
      </c>
      <c r="B1252" t="inlineStr">
        <is>
          <t>Q3</t>
        </is>
      </c>
      <c r="C1252" t="inlineStr">
        <is>
          <t>Yes</t>
        </is>
      </c>
      <c r="D1252" t="inlineStr">
        <is>
          <t>Partial</t>
        </is>
      </c>
      <c r="E1252">
        <f>VLOOKUP(C1252,CategoryMap,2,0)</f>
        <v/>
      </c>
      <c r="F1252">
        <f>VLOOKUP(D1252,CategoryMap,2,0)</f>
        <v/>
      </c>
      <c r="G1252">
        <f>ABS(E1252-F1252)</f>
        <v/>
      </c>
      <c r="H1252">
        <f>IF(G1252=0,"Yes","No")</f>
        <v/>
      </c>
      <c r="I1252" t="inlineStr">
        <is>
          <t>Partial</t>
        </is>
      </c>
      <c r="J1252">
        <f>IF(I1252="","",IF(AND(I1252=C1252,I1252=D1252),"Both",IF(I1252=C1252,"Opus",IF(I1252=D1252,"Sonnet","Neither"))))</f>
        <v/>
      </c>
    </row>
    <row r="1253">
      <c r="A1253" t="inlineStr">
        <is>
          <t>R347</t>
        </is>
      </c>
      <c r="B1253" t="inlineStr">
        <is>
          <t>Q4</t>
        </is>
      </c>
      <c r="C1253" t="inlineStr">
        <is>
          <t>No</t>
        </is>
      </c>
      <c r="D1253" t="inlineStr">
        <is>
          <t>No</t>
        </is>
      </c>
      <c r="E1253">
        <f>VLOOKUP(C1253,CategoryMap,2,0)</f>
        <v/>
      </c>
      <c r="F1253">
        <f>VLOOKUP(D1253,CategoryMap,2,0)</f>
        <v/>
      </c>
      <c r="G1253">
        <f>ABS(E1253-F1253)</f>
        <v/>
      </c>
      <c r="H1253">
        <f>IF(G1253=0,"Yes","No")</f>
        <v/>
      </c>
      <c r="I1253" t="inlineStr">
        <is>
          <t>No</t>
        </is>
      </c>
      <c r="J1253">
        <f>IF(I1253="","",IF(AND(I1253=C1253,I1253=D1253),"Both",IF(I1253=C1253,"Opus",IF(I1253=D1253,"Sonnet","Neither"))))</f>
        <v/>
      </c>
    </row>
    <row r="1254">
      <c r="A1254" t="inlineStr">
        <is>
          <t>R347</t>
        </is>
      </c>
      <c r="B1254" t="inlineStr">
        <is>
          <t>Q5</t>
        </is>
      </c>
      <c r="C1254" t="inlineStr">
        <is>
          <t>No</t>
        </is>
      </c>
      <c r="D1254" t="inlineStr">
        <is>
          <t>No</t>
        </is>
      </c>
      <c r="E1254">
        <f>VLOOKUP(C1254,CategoryMap,2,0)</f>
        <v/>
      </c>
      <c r="F1254">
        <f>VLOOKUP(D1254,CategoryMap,2,0)</f>
        <v/>
      </c>
      <c r="G1254">
        <f>ABS(E1254-F1254)</f>
        <v/>
      </c>
      <c r="H1254">
        <f>IF(G1254=0,"Yes","No")</f>
        <v/>
      </c>
      <c r="I1254" t="inlineStr">
        <is>
          <t>No</t>
        </is>
      </c>
      <c r="J1254">
        <f>IF(I1254="","",IF(AND(I1254=C1254,I1254=D1254),"Both",IF(I1254=C1254,"Opus",IF(I1254=D1254,"Sonnet","Neither"))))</f>
        <v/>
      </c>
    </row>
    <row r="1255">
      <c r="A1255" t="inlineStr">
        <is>
          <t>R347</t>
        </is>
      </c>
      <c r="B1255" t="inlineStr">
        <is>
          <t>Q6</t>
        </is>
      </c>
      <c r="C1255" t="inlineStr">
        <is>
          <t>No</t>
        </is>
      </c>
      <c r="D1255" t="inlineStr">
        <is>
          <t>No</t>
        </is>
      </c>
      <c r="E1255">
        <f>VLOOKUP(C1255,CategoryMap,2,0)</f>
        <v/>
      </c>
      <c r="F1255">
        <f>VLOOKUP(D1255,CategoryMap,2,0)</f>
        <v/>
      </c>
      <c r="G1255">
        <f>ABS(E1255-F1255)</f>
        <v/>
      </c>
      <c r="H1255">
        <f>IF(G1255=0,"Yes","No")</f>
        <v/>
      </c>
      <c r="I1255" t="inlineStr">
        <is>
          <t>No</t>
        </is>
      </c>
      <c r="J1255">
        <f>IF(I1255="","",IF(AND(I1255=C1255,I1255=D1255),"Both",IF(I1255=C1255,"Opus",IF(I1255=D1255,"Sonnet","Neither"))))</f>
        <v/>
      </c>
    </row>
    <row r="1256">
      <c r="A1256" t="inlineStr">
        <is>
          <t>R347</t>
        </is>
      </c>
      <c r="B1256" t="inlineStr">
        <is>
          <t>Q7</t>
        </is>
      </c>
      <c r="C1256" t="inlineStr">
        <is>
          <t>Partial</t>
        </is>
      </c>
      <c r="D1256" t="inlineStr">
        <is>
          <t>No</t>
        </is>
      </c>
      <c r="E1256">
        <f>VLOOKUP(C1256,CategoryMap,2,0)</f>
        <v/>
      </c>
      <c r="F1256">
        <f>VLOOKUP(D1256,CategoryMap,2,0)</f>
        <v/>
      </c>
      <c r="G1256">
        <f>ABS(E1256-F1256)</f>
        <v/>
      </c>
      <c r="H1256">
        <f>IF(G1256=0,"Yes","No")</f>
        <v/>
      </c>
      <c r="I1256" t="inlineStr">
        <is>
          <t>Partial</t>
        </is>
      </c>
      <c r="J1256">
        <f>IF(I1256="","",IF(AND(I1256=C1256,I1256=D1256),"Both",IF(I1256=C1256,"Opus",IF(I1256=D1256,"Sonnet","Neither"))))</f>
        <v/>
      </c>
    </row>
    <row r="1257">
      <c r="A1257" t="inlineStr">
        <is>
          <t>R347</t>
        </is>
      </c>
      <c r="B1257" t="inlineStr">
        <is>
          <t>Q8</t>
        </is>
      </c>
      <c r="C1257" t="inlineStr">
        <is>
          <t>Partial</t>
        </is>
      </c>
      <c r="D1257" t="inlineStr">
        <is>
          <t>No</t>
        </is>
      </c>
      <c r="E1257">
        <f>VLOOKUP(C1257,CategoryMap,2,0)</f>
        <v/>
      </c>
      <c r="F1257">
        <f>VLOOKUP(D1257,CategoryMap,2,0)</f>
        <v/>
      </c>
      <c r="G1257">
        <f>ABS(E1257-F1257)</f>
        <v/>
      </c>
      <c r="H1257">
        <f>IF(G1257=0,"Yes","No")</f>
        <v/>
      </c>
      <c r="I1257" t="inlineStr">
        <is>
          <t>Partial</t>
        </is>
      </c>
      <c r="J1257">
        <f>IF(I1257="","",IF(AND(I1257=C1257,I1257=D1257),"Both",IF(I1257=C1257,"Opus",IF(I1257=D1257,"Sonnet","Neither"))))</f>
        <v/>
      </c>
    </row>
    <row r="1258">
      <c r="A1258" t="inlineStr">
        <is>
          <t>R349</t>
        </is>
      </c>
      <c r="B1258" t="inlineStr">
        <is>
          <t>Q1</t>
        </is>
      </c>
      <c r="C1258" t="inlineStr">
        <is>
          <t>No</t>
        </is>
      </c>
      <c r="D1258" t="inlineStr">
        <is>
          <t>No</t>
        </is>
      </c>
      <c r="E1258">
        <f>VLOOKUP(C1258,CategoryMap,2,0)</f>
        <v/>
      </c>
      <c r="F1258">
        <f>VLOOKUP(D1258,CategoryMap,2,0)</f>
        <v/>
      </c>
      <c r="G1258">
        <f>ABS(E1258-F1258)</f>
        <v/>
      </c>
      <c r="H1258">
        <f>IF(G1258=0,"Yes","No")</f>
        <v/>
      </c>
      <c r="I1258" t="inlineStr">
        <is>
          <t>No</t>
        </is>
      </c>
      <c r="J1258">
        <f>IF(I1258="","",IF(AND(I1258=C1258,I1258=D1258),"Both",IF(I1258=C1258,"Opus",IF(I1258=D1258,"Sonnet","Neither"))))</f>
        <v/>
      </c>
    </row>
    <row r="1259">
      <c r="A1259" t="inlineStr">
        <is>
          <t>R349</t>
        </is>
      </c>
      <c r="B1259" t="inlineStr">
        <is>
          <t>Q2</t>
        </is>
      </c>
      <c r="C1259" t="inlineStr">
        <is>
          <t>Partial</t>
        </is>
      </c>
      <c r="D1259" t="inlineStr">
        <is>
          <t>No</t>
        </is>
      </c>
      <c r="E1259">
        <f>VLOOKUP(C1259,CategoryMap,2,0)</f>
        <v/>
      </c>
      <c r="F1259">
        <f>VLOOKUP(D1259,CategoryMap,2,0)</f>
        <v/>
      </c>
      <c r="G1259">
        <f>ABS(E1259-F1259)</f>
        <v/>
      </c>
      <c r="H1259">
        <f>IF(G1259=0,"Yes","No")</f>
        <v/>
      </c>
      <c r="I1259" t="inlineStr">
        <is>
          <t>No</t>
        </is>
      </c>
      <c r="J1259">
        <f>IF(I1259="","",IF(AND(I1259=C1259,I1259=D1259),"Both",IF(I1259=C1259,"Opus",IF(I1259=D1259,"Sonnet","Neither"))))</f>
        <v/>
      </c>
    </row>
    <row r="1260">
      <c r="A1260" t="inlineStr">
        <is>
          <t>R349</t>
        </is>
      </c>
      <c r="B1260" t="inlineStr">
        <is>
          <t>Q3</t>
        </is>
      </c>
      <c r="C1260" t="inlineStr">
        <is>
          <t>Partial</t>
        </is>
      </c>
      <c r="D1260" t="inlineStr">
        <is>
          <t>No</t>
        </is>
      </c>
      <c r="E1260">
        <f>VLOOKUP(C1260,CategoryMap,2,0)</f>
        <v/>
      </c>
      <c r="F1260">
        <f>VLOOKUP(D1260,CategoryMap,2,0)</f>
        <v/>
      </c>
      <c r="G1260">
        <f>ABS(E1260-F1260)</f>
        <v/>
      </c>
      <c r="H1260">
        <f>IF(G1260=0,"Yes","No")</f>
        <v/>
      </c>
      <c r="I1260" t="inlineStr">
        <is>
          <t>No</t>
        </is>
      </c>
      <c r="J1260">
        <f>IF(I1260="","",IF(AND(I1260=C1260,I1260=D1260),"Both",IF(I1260=C1260,"Opus",IF(I1260=D1260,"Sonnet","Neither"))))</f>
        <v/>
      </c>
    </row>
    <row r="1261">
      <c r="A1261" t="inlineStr">
        <is>
          <t>R349</t>
        </is>
      </c>
      <c r="B1261" t="inlineStr">
        <is>
          <t>Q4</t>
        </is>
      </c>
      <c r="C1261" t="inlineStr">
        <is>
          <t>Partial</t>
        </is>
      </c>
      <c r="D1261" t="inlineStr">
        <is>
          <t>Partial</t>
        </is>
      </c>
      <c r="E1261">
        <f>VLOOKUP(C1261,CategoryMap,2,0)</f>
        <v/>
      </c>
      <c r="F1261">
        <f>VLOOKUP(D1261,CategoryMap,2,0)</f>
        <v/>
      </c>
      <c r="G1261">
        <f>ABS(E1261-F1261)</f>
        <v/>
      </c>
      <c r="H1261">
        <f>IF(G1261=0,"Yes","No")</f>
        <v/>
      </c>
      <c r="I1261" t="inlineStr">
        <is>
          <t>Partial</t>
        </is>
      </c>
      <c r="J1261">
        <f>IF(I1261="","",IF(AND(I1261=C1261,I1261=D1261),"Both",IF(I1261=C1261,"Opus",IF(I1261=D1261,"Sonnet","Neither"))))</f>
        <v/>
      </c>
    </row>
    <row r="1262">
      <c r="A1262" t="inlineStr">
        <is>
          <t>R349</t>
        </is>
      </c>
      <c r="B1262" t="inlineStr">
        <is>
          <t>Q5</t>
        </is>
      </c>
      <c r="C1262" t="inlineStr">
        <is>
          <t>Partial</t>
        </is>
      </c>
      <c r="D1262" t="inlineStr">
        <is>
          <t>Partial</t>
        </is>
      </c>
      <c r="E1262">
        <f>VLOOKUP(C1262,CategoryMap,2,0)</f>
        <v/>
      </c>
      <c r="F1262">
        <f>VLOOKUP(D1262,CategoryMap,2,0)</f>
        <v/>
      </c>
      <c r="G1262">
        <f>ABS(E1262-F1262)</f>
        <v/>
      </c>
      <c r="H1262">
        <f>IF(G1262=0,"Yes","No")</f>
        <v/>
      </c>
      <c r="I1262" t="inlineStr">
        <is>
          <t>Partial</t>
        </is>
      </c>
      <c r="J1262">
        <f>IF(I1262="","",IF(AND(I1262=C1262,I1262=D1262),"Both",IF(I1262=C1262,"Opus",IF(I1262=D1262,"Sonnet","Neither"))))</f>
        <v/>
      </c>
    </row>
    <row r="1263">
      <c r="A1263" t="inlineStr">
        <is>
          <t>R349</t>
        </is>
      </c>
      <c r="B1263" t="inlineStr">
        <is>
          <t>Q6</t>
        </is>
      </c>
      <c r="C1263" t="inlineStr">
        <is>
          <t>Partial</t>
        </is>
      </c>
      <c r="D1263" t="inlineStr">
        <is>
          <t>Partial</t>
        </is>
      </c>
      <c r="E1263">
        <f>VLOOKUP(C1263,CategoryMap,2,0)</f>
        <v/>
      </c>
      <c r="F1263">
        <f>VLOOKUP(D1263,CategoryMap,2,0)</f>
        <v/>
      </c>
      <c r="G1263">
        <f>ABS(E1263-F1263)</f>
        <v/>
      </c>
      <c r="H1263">
        <f>IF(G1263=0,"Yes","No")</f>
        <v/>
      </c>
      <c r="I1263" t="inlineStr">
        <is>
          <t>Partial</t>
        </is>
      </c>
      <c r="J1263">
        <f>IF(I1263="","",IF(AND(I1263=C1263,I1263=D1263),"Both",IF(I1263=C1263,"Opus",IF(I1263=D1263,"Sonnet","Neither"))))</f>
        <v/>
      </c>
    </row>
    <row r="1264">
      <c r="A1264" t="inlineStr">
        <is>
          <t>R349</t>
        </is>
      </c>
      <c r="B1264" t="inlineStr">
        <is>
          <t>Q7</t>
        </is>
      </c>
      <c r="C1264" t="inlineStr">
        <is>
          <t>Yes</t>
        </is>
      </c>
      <c r="D1264" t="inlineStr">
        <is>
          <t>Yes</t>
        </is>
      </c>
      <c r="E1264">
        <f>VLOOKUP(C1264,CategoryMap,2,0)</f>
        <v/>
      </c>
      <c r="F1264">
        <f>VLOOKUP(D1264,CategoryMap,2,0)</f>
        <v/>
      </c>
      <c r="G1264">
        <f>ABS(E1264-F1264)</f>
        <v/>
      </c>
      <c r="H1264">
        <f>IF(G1264=0,"Yes","No")</f>
        <v/>
      </c>
      <c r="I1264" t="inlineStr">
        <is>
          <t>Yes</t>
        </is>
      </c>
      <c r="J1264">
        <f>IF(I1264="","",IF(AND(I1264=C1264,I1264=D1264),"Both",IF(I1264=C1264,"Opus",IF(I1264=D1264,"Sonnet","Neither"))))</f>
        <v/>
      </c>
    </row>
    <row r="1265">
      <c r="A1265" t="inlineStr">
        <is>
          <t>R349</t>
        </is>
      </c>
      <c r="B1265" t="inlineStr">
        <is>
          <t>Q8</t>
        </is>
      </c>
      <c r="C1265" t="inlineStr">
        <is>
          <t>Partial</t>
        </is>
      </c>
      <c r="D1265" t="inlineStr">
        <is>
          <t>No</t>
        </is>
      </c>
      <c r="E1265">
        <f>VLOOKUP(C1265,CategoryMap,2,0)</f>
        <v/>
      </c>
      <c r="F1265">
        <f>VLOOKUP(D1265,CategoryMap,2,0)</f>
        <v/>
      </c>
      <c r="G1265">
        <f>ABS(E1265-F1265)</f>
        <v/>
      </c>
      <c r="H1265">
        <f>IF(G1265=0,"Yes","No")</f>
        <v/>
      </c>
      <c r="I1265" t="inlineStr">
        <is>
          <t>No</t>
        </is>
      </c>
      <c r="J1265">
        <f>IF(I1265="","",IF(AND(I1265=C1265,I1265=D1265),"Both",IF(I1265=C1265,"Opus",IF(I1265=D1265,"Sonnet","Neither"))))</f>
        <v/>
      </c>
    </row>
    <row r="1266">
      <c r="A1266" t="inlineStr">
        <is>
          <t>R352</t>
        </is>
      </c>
      <c r="B1266" t="inlineStr">
        <is>
          <t>Q1</t>
        </is>
      </c>
      <c r="C1266" t="inlineStr">
        <is>
          <t>Yes</t>
        </is>
      </c>
      <c r="D1266" t="inlineStr">
        <is>
          <t>Yes</t>
        </is>
      </c>
      <c r="E1266">
        <f>VLOOKUP(C1266,CategoryMap,2,0)</f>
        <v/>
      </c>
      <c r="F1266">
        <f>VLOOKUP(D1266,CategoryMap,2,0)</f>
        <v/>
      </c>
      <c r="G1266">
        <f>ABS(E1266-F1266)</f>
        <v/>
      </c>
      <c r="H1266">
        <f>IF(G1266=0,"Yes","No")</f>
        <v/>
      </c>
      <c r="I1266" t="inlineStr">
        <is>
          <t>Yes</t>
        </is>
      </c>
      <c r="J1266">
        <f>IF(I1266="","",IF(AND(I1266=C1266,I1266=D1266),"Both",IF(I1266=C1266,"Opus",IF(I1266=D1266,"Sonnet","Neither"))))</f>
        <v/>
      </c>
    </row>
    <row r="1267">
      <c r="A1267" t="inlineStr">
        <is>
          <t>R352</t>
        </is>
      </c>
      <c r="B1267" t="inlineStr">
        <is>
          <t>Q2</t>
        </is>
      </c>
      <c r="C1267" t="inlineStr">
        <is>
          <t>Partial</t>
        </is>
      </c>
      <c r="D1267" t="inlineStr">
        <is>
          <t>Partial</t>
        </is>
      </c>
      <c r="E1267">
        <f>VLOOKUP(C1267,CategoryMap,2,0)</f>
        <v/>
      </c>
      <c r="F1267">
        <f>VLOOKUP(D1267,CategoryMap,2,0)</f>
        <v/>
      </c>
      <c r="G1267">
        <f>ABS(E1267-F1267)</f>
        <v/>
      </c>
      <c r="H1267">
        <f>IF(G1267=0,"Yes","No")</f>
        <v/>
      </c>
      <c r="I1267" t="inlineStr">
        <is>
          <t>Partial</t>
        </is>
      </c>
      <c r="J1267">
        <f>IF(I1267="","",IF(AND(I1267=C1267,I1267=D1267),"Both",IF(I1267=C1267,"Opus",IF(I1267=D1267,"Sonnet","Neither"))))</f>
        <v/>
      </c>
    </row>
    <row r="1268">
      <c r="A1268" t="inlineStr">
        <is>
          <t>R352</t>
        </is>
      </c>
      <c r="B1268" t="inlineStr">
        <is>
          <t>Q3</t>
        </is>
      </c>
      <c r="C1268" t="inlineStr">
        <is>
          <t>Yes</t>
        </is>
      </c>
      <c r="D1268" t="inlineStr">
        <is>
          <t>Yes</t>
        </is>
      </c>
      <c r="E1268">
        <f>VLOOKUP(C1268,CategoryMap,2,0)</f>
        <v/>
      </c>
      <c r="F1268">
        <f>VLOOKUP(D1268,CategoryMap,2,0)</f>
        <v/>
      </c>
      <c r="G1268">
        <f>ABS(E1268-F1268)</f>
        <v/>
      </c>
      <c r="H1268">
        <f>IF(G1268=0,"Yes","No")</f>
        <v/>
      </c>
      <c r="I1268" t="inlineStr">
        <is>
          <t>Yes</t>
        </is>
      </c>
      <c r="J1268">
        <f>IF(I1268="","",IF(AND(I1268=C1268,I1268=D1268),"Both",IF(I1268=C1268,"Opus",IF(I1268=D1268,"Sonnet","Neither"))))</f>
        <v/>
      </c>
    </row>
    <row r="1269">
      <c r="A1269" t="inlineStr">
        <is>
          <t>R352</t>
        </is>
      </c>
      <c r="B1269" t="inlineStr">
        <is>
          <t>Q4</t>
        </is>
      </c>
      <c r="C1269" t="inlineStr">
        <is>
          <t>Partial</t>
        </is>
      </c>
      <c r="D1269" t="inlineStr">
        <is>
          <t>Partial</t>
        </is>
      </c>
      <c r="E1269">
        <f>VLOOKUP(C1269,CategoryMap,2,0)</f>
        <v/>
      </c>
      <c r="F1269">
        <f>VLOOKUP(D1269,CategoryMap,2,0)</f>
        <v/>
      </c>
      <c r="G1269">
        <f>ABS(E1269-F1269)</f>
        <v/>
      </c>
      <c r="H1269">
        <f>IF(G1269=0,"Yes","No")</f>
        <v/>
      </c>
      <c r="I1269" t="inlineStr">
        <is>
          <t>Partial</t>
        </is>
      </c>
      <c r="J1269">
        <f>IF(I1269="","",IF(AND(I1269=C1269,I1269=D1269),"Both",IF(I1269=C1269,"Opus",IF(I1269=D1269,"Sonnet","Neither"))))</f>
        <v/>
      </c>
    </row>
    <row r="1270">
      <c r="A1270" t="inlineStr">
        <is>
          <t>R352</t>
        </is>
      </c>
      <c r="B1270" t="inlineStr">
        <is>
          <t>Q5</t>
        </is>
      </c>
      <c r="C1270" t="inlineStr">
        <is>
          <t>Yes</t>
        </is>
      </c>
      <c r="D1270" t="inlineStr">
        <is>
          <t>Yes</t>
        </is>
      </c>
      <c r="E1270">
        <f>VLOOKUP(C1270,CategoryMap,2,0)</f>
        <v/>
      </c>
      <c r="F1270">
        <f>VLOOKUP(D1270,CategoryMap,2,0)</f>
        <v/>
      </c>
      <c r="G1270">
        <f>ABS(E1270-F1270)</f>
        <v/>
      </c>
      <c r="H1270">
        <f>IF(G1270=0,"Yes","No")</f>
        <v/>
      </c>
      <c r="I1270" t="inlineStr">
        <is>
          <t>Yes</t>
        </is>
      </c>
      <c r="J1270">
        <f>IF(I1270="","",IF(AND(I1270=C1270,I1270=D1270),"Both",IF(I1270=C1270,"Opus",IF(I1270=D1270,"Sonnet","Neither"))))</f>
        <v/>
      </c>
    </row>
    <row r="1271">
      <c r="A1271" t="inlineStr">
        <is>
          <t>R352</t>
        </is>
      </c>
      <c r="B1271" t="inlineStr">
        <is>
          <t>Q6</t>
        </is>
      </c>
      <c r="C1271" t="inlineStr">
        <is>
          <t>Yes</t>
        </is>
      </c>
      <c r="D1271" t="inlineStr">
        <is>
          <t>Yes</t>
        </is>
      </c>
      <c r="E1271">
        <f>VLOOKUP(C1271,CategoryMap,2,0)</f>
        <v/>
      </c>
      <c r="F1271">
        <f>VLOOKUP(D1271,CategoryMap,2,0)</f>
        <v/>
      </c>
      <c r="G1271">
        <f>ABS(E1271-F1271)</f>
        <v/>
      </c>
      <c r="H1271">
        <f>IF(G1271=0,"Yes","No")</f>
        <v/>
      </c>
      <c r="I1271" t="inlineStr">
        <is>
          <t>Yes</t>
        </is>
      </c>
      <c r="J1271">
        <f>IF(I1271="","",IF(AND(I1271=C1271,I1271=D1271),"Both",IF(I1271=C1271,"Opus",IF(I1271=D1271,"Sonnet","Neither"))))</f>
        <v/>
      </c>
    </row>
    <row r="1272">
      <c r="A1272" t="inlineStr">
        <is>
          <t>R352</t>
        </is>
      </c>
      <c r="B1272" t="inlineStr">
        <is>
          <t>Q7</t>
        </is>
      </c>
      <c r="C1272" t="inlineStr">
        <is>
          <t>Yes</t>
        </is>
      </c>
      <c r="D1272" t="inlineStr">
        <is>
          <t>Yes</t>
        </is>
      </c>
      <c r="E1272">
        <f>VLOOKUP(C1272,CategoryMap,2,0)</f>
        <v/>
      </c>
      <c r="F1272">
        <f>VLOOKUP(D1272,CategoryMap,2,0)</f>
        <v/>
      </c>
      <c r="G1272">
        <f>ABS(E1272-F1272)</f>
        <v/>
      </c>
      <c r="H1272">
        <f>IF(G1272=0,"Yes","No")</f>
        <v/>
      </c>
      <c r="I1272" t="inlineStr">
        <is>
          <t>Yes</t>
        </is>
      </c>
      <c r="J1272">
        <f>IF(I1272="","",IF(AND(I1272=C1272,I1272=D1272),"Both",IF(I1272=C1272,"Opus",IF(I1272=D1272,"Sonnet","Neither"))))</f>
        <v/>
      </c>
    </row>
    <row r="1273">
      <c r="A1273" t="inlineStr">
        <is>
          <t>R352</t>
        </is>
      </c>
      <c r="B1273" t="inlineStr">
        <is>
          <t>Q8</t>
        </is>
      </c>
      <c r="C1273" t="inlineStr">
        <is>
          <t>Partial</t>
        </is>
      </c>
      <c r="D1273" t="inlineStr">
        <is>
          <t>No</t>
        </is>
      </c>
      <c r="E1273">
        <f>VLOOKUP(C1273,CategoryMap,2,0)</f>
        <v/>
      </c>
      <c r="F1273">
        <f>VLOOKUP(D1273,CategoryMap,2,0)</f>
        <v/>
      </c>
      <c r="G1273">
        <f>ABS(E1273-F1273)</f>
        <v/>
      </c>
      <c r="H1273">
        <f>IF(G1273=0,"Yes","No")</f>
        <v/>
      </c>
      <c r="I1273" t="inlineStr">
        <is>
          <t>No</t>
        </is>
      </c>
      <c r="J1273">
        <f>IF(I1273="","",IF(AND(I1273=C1273,I1273=D1273),"Both",IF(I1273=C1273,"Opus",IF(I1273=D1273,"Sonnet","Neither"))))</f>
        <v/>
      </c>
    </row>
    <row r="1274">
      <c r="A1274" t="inlineStr">
        <is>
          <t>R354</t>
        </is>
      </c>
      <c r="B1274" t="inlineStr">
        <is>
          <t>Q1</t>
        </is>
      </c>
      <c r="C1274" t="inlineStr">
        <is>
          <t>Yes</t>
        </is>
      </c>
      <c r="D1274" t="inlineStr">
        <is>
          <t>Partial</t>
        </is>
      </c>
      <c r="E1274">
        <f>VLOOKUP(C1274,CategoryMap,2,0)</f>
        <v/>
      </c>
      <c r="F1274">
        <f>VLOOKUP(D1274,CategoryMap,2,0)</f>
        <v/>
      </c>
      <c r="G1274">
        <f>ABS(E1274-F1274)</f>
        <v/>
      </c>
      <c r="H1274">
        <f>IF(G1274=0,"Yes","No")</f>
        <v/>
      </c>
      <c r="I1274" t="inlineStr">
        <is>
          <t>Partial</t>
        </is>
      </c>
      <c r="J1274">
        <f>IF(I1274="","",IF(AND(I1274=C1274,I1274=D1274),"Both",IF(I1274=C1274,"Opus",IF(I1274=D1274,"Sonnet","Neither"))))</f>
        <v/>
      </c>
    </row>
    <row r="1275">
      <c r="A1275" t="inlineStr">
        <is>
          <t>R354</t>
        </is>
      </c>
      <c r="B1275" t="inlineStr">
        <is>
          <t>Q2</t>
        </is>
      </c>
      <c r="C1275" t="inlineStr">
        <is>
          <t>Partial</t>
        </is>
      </c>
      <c r="D1275" t="inlineStr">
        <is>
          <t>Partial</t>
        </is>
      </c>
      <c r="E1275">
        <f>VLOOKUP(C1275,CategoryMap,2,0)</f>
        <v/>
      </c>
      <c r="F1275">
        <f>VLOOKUP(D1275,CategoryMap,2,0)</f>
        <v/>
      </c>
      <c r="G1275">
        <f>ABS(E1275-F1275)</f>
        <v/>
      </c>
      <c r="H1275">
        <f>IF(G1275=0,"Yes","No")</f>
        <v/>
      </c>
      <c r="I1275" t="inlineStr">
        <is>
          <t>Partial</t>
        </is>
      </c>
      <c r="J1275">
        <f>IF(I1275="","",IF(AND(I1275=C1275,I1275=D1275),"Both",IF(I1275=C1275,"Opus",IF(I1275=D1275,"Sonnet","Neither"))))</f>
        <v/>
      </c>
    </row>
    <row r="1276">
      <c r="A1276" t="inlineStr">
        <is>
          <t>R354</t>
        </is>
      </c>
      <c r="B1276" t="inlineStr">
        <is>
          <t>Q3</t>
        </is>
      </c>
      <c r="C1276" t="inlineStr">
        <is>
          <t>Yes</t>
        </is>
      </c>
      <c r="D1276" t="inlineStr">
        <is>
          <t>Yes</t>
        </is>
      </c>
      <c r="E1276">
        <f>VLOOKUP(C1276,CategoryMap,2,0)</f>
        <v/>
      </c>
      <c r="F1276">
        <f>VLOOKUP(D1276,CategoryMap,2,0)</f>
        <v/>
      </c>
      <c r="G1276">
        <f>ABS(E1276-F1276)</f>
        <v/>
      </c>
      <c r="H1276">
        <f>IF(G1276=0,"Yes","No")</f>
        <v/>
      </c>
      <c r="I1276" t="inlineStr">
        <is>
          <t>Yes</t>
        </is>
      </c>
      <c r="J1276">
        <f>IF(I1276="","",IF(AND(I1276=C1276,I1276=D1276),"Both",IF(I1276=C1276,"Opus",IF(I1276=D1276,"Sonnet","Neither"))))</f>
        <v/>
      </c>
    </row>
    <row r="1277">
      <c r="A1277" t="inlineStr">
        <is>
          <t>R354</t>
        </is>
      </c>
      <c r="B1277" t="inlineStr">
        <is>
          <t>Q4</t>
        </is>
      </c>
      <c r="C1277" t="inlineStr">
        <is>
          <t>No</t>
        </is>
      </c>
      <c r="D1277" t="inlineStr">
        <is>
          <t>No</t>
        </is>
      </c>
      <c r="E1277">
        <f>VLOOKUP(C1277,CategoryMap,2,0)</f>
        <v/>
      </c>
      <c r="F1277">
        <f>VLOOKUP(D1277,CategoryMap,2,0)</f>
        <v/>
      </c>
      <c r="G1277">
        <f>ABS(E1277-F1277)</f>
        <v/>
      </c>
      <c r="H1277">
        <f>IF(G1277=0,"Yes","No")</f>
        <v/>
      </c>
      <c r="I1277" t="inlineStr">
        <is>
          <t>No</t>
        </is>
      </c>
      <c r="J1277">
        <f>IF(I1277="","",IF(AND(I1277=C1277,I1277=D1277),"Both",IF(I1277=C1277,"Opus",IF(I1277=D1277,"Sonnet","Neither"))))</f>
        <v/>
      </c>
    </row>
    <row r="1278">
      <c r="A1278" t="inlineStr">
        <is>
          <t>R354</t>
        </is>
      </c>
      <c r="B1278" t="inlineStr">
        <is>
          <t>Q5</t>
        </is>
      </c>
      <c r="C1278" t="inlineStr">
        <is>
          <t>Partial</t>
        </is>
      </c>
      <c r="D1278" t="inlineStr">
        <is>
          <t>No</t>
        </is>
      </c>
      <c r="E1278">
        <f>VLOOKUP(C1278,CategoryMap,2,0)</f>
        <v/>
      </c>
      <c r="F1278">
        <f>VLOOKUP(D1278,CategoryMap,2,0)</f>
        <v/>
      </c>
      <c r="G1278">
        <f>ABS(E1278-F1278)</f>
        <v/>
      </c>
      <c r="H1278">
        <f>IF(G1278=0,"Yes","No")</f>
        <v/>
      </c>
      <c r="I1278" t="inlineStr">
        <is>
          <t>No</t>
        </is>
      </c>
      <c r="J1278">
        <f>IF(I1278="","",IF(AND(I1278=C1278,I1278=D1278),"Both",IF(I1278=C1278,"Opus",IF(I1278=D1278,"Sonnet","Neither"))))</f>
        <v/>
      </c>
    </row>
    <row r="1279">
      <c r="A1279" t="inlineStr">
        <is>
          <t>R354</t>
        </is>
      </c>
      <c r="B1279" t="inlineStr">
        <is>
          <t>Q6</t>
        </is>
      </c>
      <c r="C1279" t="inlineStr">
        <is>
          <t>No</t>
        </is>
      </c>
      <c r="D1279" t="inlineStr">
        <is>
          <t>No</t>
        </is>
      </c>
      <c r="E1279">
        <f>VLOOKUP(C1279,CategoryMap,2,0)</f>
        <v/>
      </c>
      <c r="F1279">
        <f>VLOOKUP(D1279,CategoryMap,2,0)</f>
        <v/>
      </c>
      <c r="G1279">
        <f>ABS(E1279-F1279)</f>
        <v/>
      </c>
      <c r="H1279">
        <f>IF(G1279=0,"Yes","No")</f>
        <v/>
      </c>
      <c r="I1279" t="inlineStr">
        <is>
          <t>No</t>
        </is>
      </c>
      <c r="J1279">
        <f>IF(I1279="","",IF(AND(I1279=C1279,I1279=D1279),"Both",IF(I1279=C1279,"Opus",IF(I1279=D1279,"Sonnet","Neither"))))</f>
        <v/>
      </c>
    </row>
    <row r="1280">
      <c r="A1280" t="inlineStr">
        <is>
          <t>R354</t>
        </is>
      </c>
      <c r="B1280" t="inlineStr">
        <is>
          <t>Q7</t>
        </is>
      </c>
      <c r="C1280" t="inlineStr">
        <is>
          <t>No</t>
        </is>
      </c>
      <c r="D1280" t="inlineStr">
        <is>
          <t>No</t>
        </is>
      </c>
      <c r="E1280">
        <f>VLOOKUP(C1280,CategoryMap,2,0)</f>
        <v/>
      </c>
      <c r="F1280">
        <f>VLOOKUP(D1280,CategoryMap,2,0)</f>
        <v/>
      </c>
      <c r="G1280">
        <f>ABS(E1280-F1280)</f>
        <v/>
      </c>
      <c r="H1280">
        <f>IF(G1280=0,"Yes","No")</f>
        <v/>
      </c>
      <c r="I1280" t="inlineStr">
        <is>
          <t>No</t>
        </is>
      </c>
      <c r="J1280">
        <f>IF(I1280="","",IF(AND(I1280=C1280,I1280=D1280),"Both",IF(I1280=C1280,"Opus",IF(I1280=D1280,"Sonnet","Neither"))))</f>
        <v/>
      </c>
    </row>
    <row r="1281">
      <c r="A1281" t="inlineStr">
        <is>
          <t>R354</t>
        </is>
      </c>
      <c r="B1281" t="inlineStr">
        <is>
          <t>Q8</t>
        </is>
      </c>
      <c r="C1281" t="inlineStr">
        <is>
          <t>Yes</t>
        </is>
      </c>
      <c r="D1281" t="inlineStr">
        <is>
          <t>Partial</t>
        </is>
      </c>
      <c r="E1281">
        <f>VLOOKUP(C1281,CategoryMap,2,0)</f>
        <v/>
      </c>
      <c r="F1281">
        <f>VLOOKUP(D1281,CategoryMap,2,0)</f>
        <v/>
      </c>
      <c r="G1281">
        <f>ABS(E1281-F1281)</f>
        <v/>
      </c>
      <c r="H1281">
        <f>IF(G1281=0,"Yes","No")</f>
        <v/>
      </c>
      <c r="I1281" t="inlineStr">
        <is>
          <t>Yes</t>
        </is>
      </c>
      <c r="J1281">
        <f>IF(I1281="","",IF(AND(I1281=C1281,I1281=D1281),"Both",IF(I1281=C1281,"Opus",IF(I1281=D1281,"Sonnet","Neither"))))</f>
        <v/>
      </c>
    </row>
    <row r="1282">
      <c r="A1282" t="inlineStr">
        <is>
          <t>R356</t>
        </is>
      </c>
      <c r="B1282" t="inlineStr">
        <is>
          <t>Q1</t>
        </is>
      </c>
      <c r="C1282" t="inlineStr">
        <is>
          <t>Partial</t>
        </is>
      </c>
      <c r="D1282" t="inlineStr">
        <is>
          <t>Partial</t>
        </is>
      </c>
      <c r="E1282">
        <f>VLOOKUP(C1282,CategoryMap,2,0)</f>
        <v/>
      </c>
      <c r="F1282">
        <f>VLOOKUP(D1282,CategoryMap,2,0)</f>
        <v/>
      </c>
      <c r="G1282">
        <f>ABS(E1282-F1282)</f>
        <v/>
      </c>
      <c r="H1282">
        <f>IF(G1282=0,"Yes","No")</f>
        <v/>
      </c>
      <c r="I1282" t="inlineStr">
        <is>
          <t>Partial</t>
        </is>
      </c>
      <c r="J1282">
        <f>IF(I1282="","",IF(AND(I1282=C1282,I1282=D1282),"Both",IF(I1282=C1282,"Opus",IF(I1282=D1282,"Sonnet","Neither"))))</f>
        <v/>
      </c>
    </row>
    <row r="1283">
      <c r="A1283" t="inlineStr">
        <is>
          <t>R356</t>
        </is>
      </c>
      <c r="B1283" t="inlineStr">
        <is>
          <t>Q2</t>
        </is>
      </c>
      <c r="C1283" t="inlineStr">
        <is>
          <t>Yes</t>
        </is>
      </c>
      <c r="D1283" t="inlineStr">
        <is>
          <t>Partial</t>
        </is>
      </c>
      <c r="E1283">
        <f>VLOOKUP(C1283,CategoryMap,2,0)</f>
        <v/>
      </c>
      <c r="F1283">
        <f>VLOOKUP(D1283,CategoryMap,2,0)</f>
        <v/>
      </c>
      <c r="G1283">
        <f>ABS(E1283-F1283)</f>
        <v/>
      </c>
      <c r="H1283">
        <f>IF(G1283=0,"Yes","No")</f>
        <v/>
      </c>
      <c r="I1283" t="inlineStr">
        <is>
          <t>Partial</t>
        </is>
      </c>
      <c r="J1283">
        <f>IF(I1283="","",IF(AND(I1283=C1283,I1283=D1283),"Both",IF(I1283=C1283,"Opus",IF(I1283=D1283,"Sonnet","Neither"))))</f>
        <v/>
      </c>
    </row>
    <row r="1284">
      <c r="A1284" t="inlineStr">
        <is>
          <t>R356</t>
        </is>
      </c>
      <c r="B1284" t="inlineStr">
        <is>
          <t>Q3</t>
        </is>
      </c>
      <c r="C1284" t="inlineStr">
        <is>
          <t>Yes</t>
        </is>
      </c>
      <c r="D1284" t="inlineStr">
        <is>
          <t>Partial</t>
        </is>
      </c>
      <c r="E1284">
        <f>VLOOKUP(C1284,CategoryMap,2,0)</f>
        <v/>
      </c>
      <c r="F1284">
        <f>VLOOKUP(D1284,CategoryMap,2,0)</f>
        <v/>
      </c>
      <c r="G1284">
        <f>ABS(E1284-F1284)</f>
        <v/>
      </c>
      <c r="H1284">
        <f>IF(G1284=0,"Yes","No")</f>
        <v/>
      </c>
      <c r="I1284" t="inlineStr">
        <is>
          <t>Yes</t>
        </is>
      </c>
      <c r="J1284">
        <f>IF(I1284="","",IF(AND(I1284=C1284,I1284=D1284),"Both",IF(I1284=C1284,"Opus",IF(I1284=D1284,"Sonnet","Neither"))))</f>
        <v/>
      </c>
    </row>
    <row r="1285">
      <c r="A1285" t="inlineStr">
        <is>
          <t>R356</t>
        </is>
      </c>
      <c r="B1285" t="inlineStr">
        <is>
          <t>Q4</t>
        </is>
      </c>
      <c r="C1285" t="inlineStr">
        <is>
          <t>Yes</t>
        </is>
      </c>
      <c r="D1285" t="inlineStr">
        <is>
          <t>Yes</t>
        </is>
      </c>
      <c r="E1285">
        <f>VLOOKUP(C1285,CategoryMap,2,0)</f>
        <v/>
      </c>
      <c r="F1285">
        <f>VLOOKUP(D1285,CategoryMap,2,0)</f>
        <v/>
      </c>
      <c r="G1285">
        <f>ABS(E1285-F1285)</f>
        <v/>
      </c>
      <c r="H1285">
        <f>IF(G1285=0,"Yes","No")</f>
        <v/>
      </c>
      <c r="I1285" t="inlineStr">
        <is>
          <t>Yes</t>
        </is>
      </c>
      <c r="J1285">
        <f>IF(I1285="","",IF(AND(I1285=C1285,I1285=D1285),"Both",IF(I1285=C1285,"Opus",IF(I1285=D1285,"Sonnet","Neither"))))</f>
        <v/>
      </c>
    </row>
    <row r="1286">
      <c r="A1286" t="inlineStr">
        <is>
          <t>R356</t>
        </is>
      </c>
      <c r="B1286" t="inlineStr">
        <is>
          <t>Q5</t>
        </is>
      </c>
      <c r="C1286" t="inlineStr">
        <is>
          <t>Partial</t>
        </is>
      </c>
      <c r="D1286" t="inlineStr">
        <is>
          <t>Partial</t>
        </is>
      </c>
      <c r="E1286">
        <f>VLOOKUP(C1286,CategoryMap,2,0)</f>
        <v/>
      </c>
      <c r="F1286">
        <f>VLOOKUP(D1286,CategoryMap,2,0)</f>
        <v/>
      </c>
      <c r="G1286">
        <f>ABS(E1286-F1286)</f>
        <v/>
      </c>
      <c r="H1286">
        <f>IF(G1286=0,"Yes","No")</f>
        <v/>
      </c>
      <c r="I1286" t="inlineStr">
        <is>
          <t>Partial</t>
        </is>
      </c>
      <c r="J1286">
        <f>IF(I1286="","",IF(AND(I1286=C1286,I1286=D1286),"Both",IF(I1286=C1286,"Opus",IF(I1286=D1286,"Sonnet","Neither"))))</f>
        <v/>
      </c>
    </row>
    <row r="1287">
      <c r="A1287" t="inlineStr">
        <is>
          <t>R356</t>
        </is>
      </c>
      <c r="B1287" t="inlineStr">
        <is>
          <t>Q6</t>
        </is>
      </c>
      <c r="C1287" t="inlineStr">
        <is>
          <t>Partial</t>
        </is>
      </c>
      <c r="D1287" t="inlineStr">
        <is>
          <t>Partial</t>
        </is>
      </c>
      <c r="E1287">
        <f>VLOOKUP(C1287,CategoryMap,2,0)</f>
        <v/>
      </c>
      <c r="F1287">
        <f>VLOOKUP(D1287,CategoryMap,2,0)</f>
        <v/>
      </c>
      <c r="G1287">
        <f>ABS(E1287-F1287)</f>
        <v/>
      </c>
      <c r="H1287">
        <f>IF(G1287=0,"Yes","No")</f>
        <v/>
      </c>
      <c r="I1287" t="inlineStr">
        <is>
          <t>Partial</t>
        </is>
      </c>
      <c r="J1287">
        <f>IF(I1287="","",IF(AND(I1287=C1287,I1287=D1287),"Both",IF(I1287=C1287,"Opus",IF(I1287=D1287,"Sonnet","Neither"))))</f>
        <v/>
      </c>
    </row>
    <row r="1288">
      <c r="A1288" t="inlineStr">
        <is>
          <t>R356</t>
        </is>
      </c>
      <c r="B1288" t="inlineStr">
        <is>
          <t>Q7</t>
        </is>
      </c>
      <c r="C1288" t="inlineStr">
        <is>
          <t>Yes</t>
        </is>
      </c>
      <c r="D1288" t="inlineStr">
        <is>
          <t>Yes</t>
        </is>
      </c>
      <c r="E1288">
        <f>VLOOKUP(C1288,CategoryMap,2,0)</f>
        <v/>
      </c>
      <c r="F1288">
        <f>VLOOKUP(D1288,CategoryMap,2,0)</f>
        <v/>
      </c>
      <c r="G1288">
        <f>ABS(E1288-F1288)</f>
        <v/>
      </c>
      <c r="H1288">
        <f>IF(G1288=0,"Yes","No")</f>
        <v/>
      </c>
      <c r="I1288" t="inlineStr">
        <is>
          <t>Yes</t>
        </is>
      </c>
      <c r="J1288">
        <f>IF(I1288="","",IF(AND(I1288=C1288,I1288=D1288),"Both",IF(I1288=C1288,"Opus",IF(I1288=D1288,"Sonnet","Neither"))))</f>
        <v/>
      </c>
    </row>
    <row r="1289">
      <c r="A1289" t="inlineStr">
        <is>
          <t>R356</t>
        </is>
      </c>
      <c r="B1289" t="inlineStr">
        <is>
          <t>Q8</t>
        </is>
      </c>
      <c r="C1289" t="inlineStr">
        <is>
          <t>Partial</t>
        </is>
      </c>
      <c r="D1289" t="inlineStr">
        <is>
          <t>No</t>
        </is>
      </c>
      <c r="E1289">
        <f>VLOOKUP(C1289,CategoryMap,2,0)</f>
        <v/>
      </c>
      <c r="F1289">
        <f>VLOOKUP(D1289,CategoryMap,2,0)</f>
        <v/>
      </c>
      <c r="G1289">
        <f>ABS(E1289-F1289)</f>
        <v/>
      </c>
      <c r="H1289">
        <f>IF(G1289=0,"Yes","No")</f>
        <v/>
      </c>
      <c r="I1289" t="inlineStr">
        <is>
          <t>No</t>
        </is>
      </c>
      <c r="J1289">
        <f>IF(I1289="","",IF(AND(I1289=C1289,I1289=D1289),"Both",IF(I1289=C1289,"Opus",IF(I1289=D1289,"Sonnet","Neither"))))</f>
        <v/>
      </c>
    </row>
    <row r="1290">
      <c r="A1290" t="inlineStr">
        <is>
          <t>R359</t>
        </is>
      </c>
      <c r="B1290" t="inlineStr">
        <is>
          <t>Q1</t>
        </is>
      </c>
      <c r="C1290" t="inlineStr">
        <is>
          <t>No</t>
        </is>
      </c>
      <c r="D1290" t="inlineStr">
        <is>
          <t>No</t>
        </is>
      </c>
      <c r="E1290">
        <f>VLOOKUP(C1290,CategoryMap,2,0)</f>
        <v/>
      </c>
      <c r="F1290">
        <f>VLOOKUP(D1290,CategoryMap,2,0)</f>
        <v/>
      </c>
      <c r="G1290">
        <f>ABS(E1290-F1290)</f>
        <v/>
      </c>
      <c r="H1290">
        <f>IF(G1290=0,"Yes","No")</f>
        <v/>
      </c>
      <c r="I1290" t="inlineStr">
        <is>
          <t>No</t>
        </is>
      </c>
      <c r="J1290">
        <f>IF(I1290="","",IF(AND(I1290=C1290,I1290=D1290),"Both",IF(I1290=C1290,"Opus",IF(I1290=D1290,"Sonnet","Neither"))))</f>
        <v/>
      </c>
    </row>
    <row r="1291">
      <c r="A1291" t="inlineStr">
        <is>
          <t>R359</t>
        </is>
      </c>
      <c r="B1291" t="inlineStr">
        <is>
          <t>Q2</t>
        </is>
      </c>
      <c r="C1291" t="inlineStr">
        <is>
          <t>No</t>
        </is>
      </c>
      <c r="D1291" t="inlineStr">
        <is>
          <t>No</t>
        </is>
      </c>
      <c r="E1291">
        <f>VLOOKUP(C1291,CategoryMap,2,0)</f>
        <v/>
      </c>
      <c r="F1291">
        <f>VLOOKUP(D1291,CategoryMap,2,0)</f>
        <v/>
      </c>
      <c r="G1291">
        <f>ABS(E1291-F1291)</f>
        <v/>
      </c>
      <c r="H1291">
        <f>IF(G1291=0,"Yes","No")</f>
        <v/>
      </c>
      <c r="I1291" t="inlineStr">
        <is>
          <t>No</t>
        </is>
      </c>
      <c r="J1291">
        <f>IF(I1291="","",IF(AND(I1291=C1291,I1291=D1291),"Both",IF(I1291=C1291,"Opus",IF(I1291=D1291,"Sonnet","Neither"))))</f>
        <v/>
      </c>
    </row>
    <row r="1292">
      <c r="A1292" t="inlineStr">
        <is>
          <t>R359</t>
        </is>
      </c>
      <c r="B1292" t="inlineStr">
        <is>
          <t>Q3</t>
        </is>
      </c>
      <c r="C1292" t="inlineStr">
        <is>
          <t>Partial</t>
        </is>
      </c>
      <c r="D1292" t="inlineStr">
        <is>
          <t>No</t>
        </is>
      </c>
      <c r="E1292">
        <f>VLOOKUP(C1292,CategoryMap,2,0)</f>
        <v/>
      </c>
      <c r="F1292">
        <f>VLOOKUP(D1292,CategoryMap,2,0)</f>
        <v/>
      </c>
      <c r="G1292">
        <f>ABS(E1292-F1292)</f>
        <v/>
      </c>
      <c r="H1292">
        <f>IF(G1292=0,"Yes","No")</f>
        <v/>
      </c>
      <c r="I1292" t="inlineStr">
        <is>
          <t>Partial</t>
        </is>
      </c>
      <c r="J1292">
        <f>IF(I1292="","",IF(AND(I1292=C1292,I1292=D1292),"Both",IF(I1292=C1292,"Opus",IF(I1292=D1292,"Sonnet","Neither"))))</f>
        <v/>
      </c>
    </row>
    <row r="1293">
      <c r="A1293" t="inlineStr">
        <is>
          <t>R359</t>
        </is>
      </c>
      <c r="B1293" t="inlineStr">
        <is>
          <t>Q4</t>
        </is>
      </c>
      <c r="C1293" t="inlineStr">
        <is>
          <t>Partial</t>
        </is>
      </c>
      <c r="D1293" t="inlineStr">
        <is>
          <t>Partial</t>
        </is>
      </c>
      <c r="E1293">
        <f>VLOOKUP(C1293,CategoryMap,2,0)</f>
        <v/>
      </c>
      <c r="F1293">
        <f>VLOOKUP(D1293,CategoryMap,2,0)</f>
        <v/>
      </c>
      <c r="G1293">
        <f>ABS(E1293-F1293)</f>
        <v/>
      </c>
      <c r="H1293">
        <f>IF(G1293=0,"Yes","No")</f>
        <v/>
      </c>
      <c r="I1293" t="inlineStr">
        <is>
          <t>Partial</t>
        </is>
      </c>
      <c r="J1293">
        <f>IF(I1293="","",IF(AND(I1293=C1293,I1293=D1293),"Both",IF(I1293=C1293,"Opus",IF(I1293=D1293,"Sonnet","Neither"))))</f>
        <v/>
      </c>
    </row>
    <row r="1294">
      <c r="A1294" t="inlineStr">
        <is>
          <t>R359</t>
        </is>
      </c>
      <c r="B1294" t="inlineStr">
        <is>
          <t>Q5</t>
        </is>
      </c>
      <c r="C1294" t="inlineStr">
        <is>
          <t>Partial</t>
        </is>
      </c>
      <c r="D1294" t="inlineStr">
        <is>
          <t>Yes</t>
        </is>
      </c>
      <c r="E1294">
        <f>VLOOKUP(C1294,CategoryMap,2,0)</f>
        <v/>
      </c>
      <c r="F1294">
        <f>VLOOKUP(D1294,CategoryMap,2,0)</f>
        <v/>
      </c>
      <c r="G1294">
        <f>ABS(E1294-F1294)</f>
        <v/>
      </c>
      <c r="H1294">
        <f>IF(G1294=0,"Yes","No")</f>
        <v/>
      </c>
      <c r="I1294" t="inlineStr">
        <is>
          <t>Partial</t>
        </is>
      </c>
      <c r="J1294">
        <f>IF(I1294="","",IF(AND(I1294=C1294,I1294=D1294),"Both",IF(I1294=C1294,"Opus",IF(I1294=D1294,"Sonnet","Neither"))))</f>
        <v/>
      </c>
    </row>
    <row r="1295">
      <c r="A1295" t="inlineStr">
        <is>
          <t>R359</t>
        </is>
      </c>
      <c r="B1295" t="inlineStr">
        <is>
          <t>Q6</t>
        </is>
      </c>
      <c r="C1295" t="inlineStr">
        <is>
          <t>Partial</t>
        </is>
      </c>
      <c r="D1295" t="inlineStr">
        <is>
          <t>Yes</t>
        </is>
      </c>
      <c r="E1295">
        <f>VLOOKUP(C1295,CategoryMap,2,0)</f>
        <v/>
      </c>
      <c r="F1295">
        <f>VLOOKUP(D1295,CategoryMap,2,0)</f>
        <v/>
      </c>
      <c r="G1295">
        <f>ABS(E1295-F1295)</f>
        <v/>
      </c>
      <c r="H1295">
        <f>IF(G1295=0,"Yes","No")</f>
        <v/>
      </c>
      <c r="I1295" t="inlineStr">
        <is>
          <t>Partial</t>
        </is>
      </c>
      <c r="J1295">
        <f>IF(I1295="","",IF(AND(I1295=C1295,I1295=D1295),"Both",IF(I1295=C1295,"Opus",IF(I1295=D1295,"Sonnet","Neither"))))</f>
        <v/>
      </c>
    </row>
    <row r="1296">
      <c r="A1296" t="inlineStr">
        <is>
          <t>R359</t>
        </is>
      </c>
      <c r="B1296" t="inlineStr">
        <is>
          <t>Q7</t>
        </is>
      </c>
      <c r="C1296" t="inlineStr">
        <is>
          <t>Yes</t>
        </is>
      </c>
      <c r="D1296" t="inlineStr">
        <is>
          <t>Yes</t>
        </is>
      </c>
      <c r="E1296">
        <f>VLOOKUP(C1296,CategoryMap,2,0)</f>
        <v/>
      </c>
      <c r="F1296">
        <f>VLOOKUP(D1296,CategoryMap,2,0)</f>
        <v/>
      </c>
      <c r="G1296">
        <f>ABS(E1296-F1296)</f>
        <v/>
      </c>
      <c r="H1296">
        <f>IF(G1296=0,"Yes","No")</f>
        <v/>
      </c>
      <c r="I1296" t="inlineStr">
        <is>
          <t>Yes</t>
        </is>
      </c>
      <c r="J1296">
        <f>IF(I1296="","",IF(AND(I1296=C1296,I1296=D1296),"Both",IF(I1296=C1296,"Opus",IF(I1296=D1296,"Sonnet","Neither"))))</f>
        <v/>
      </c>
    </row>
    <row r="1297">
      <c r="A1297" t="inlineStr">
        <is>
          <t>R359</t>
        </is>
      </c>
      <c r="B1297" t="inlineStr">
        <is>
          <t>Q8</t>
        </is>
      </c>
      <c r="C1297" t="inlineStr">
        <is>
          <t>Partial</t>
        </is>
      </c>
      <c r="D1297" t="inlineStr">
        <is>
          <t>No</t>
        </is>
      </c>
      <c r="E1297">
        <f>VLOOKUP(C1297,CategoryMap,2,0)</f>
        <v/>
      </c>
      <c r="F1297">
        <f>VLOOKUP(D1297,CategoryMap,2,0)</f>
        <v/>
      </c>
      <c r="G1297">
        <f>ABS(E1297-F1297)</f>
        <v/>
      </c>
      <c r="H1297">
        <f>IF(G1297=0,"Yes","No")</f>
        <v/>
      </c>
      <c r="I1297" t="inlineStr">
        <is>
          <t>Partial</t>
        </is>
      </c>
      <c r="J1297">
        <f>IF(I1297="","",IF(AND(I1297=C1297,I1297=D1297),"Both",IF(I1297=C1297,"Opus",IF(I1297=D1297,"Sonnet","Neither"))))</f>
        <v/>
      </c>
    </row>
    <row r="1298">
      <c r="A1298" t="inlineStr">
        <is>
          <t>R360</t>
        </is>
      </c>
      <c r="B1298" t="inlineStr">
        <is>
          <t>Q1</t>
        </is>
      </c>
      <c r="C1298" t="inlineStr">
        <is>
          <t>Partial</t>
        </is>
      </c>
      <c r="D1298" t="inlineStr">
        <is>
          <t>No</t>
        </is>
      </c>
      <c r="E1298">
        <f>VLOOKUP(C1298,CategoryMap,2,0)</f>
        <v/>
      </c>
      <c r="F1298">
        <f>VLOOKUP(D1298,CategoryMap,2,0)</f>
        <v/>
      </c>
      <c r="G1298">
        <f>ABS(E1298-F1298)</f>
        <v/>
      </c>
      <c r="H1298">
        <f>IF(G1298=0,"Yes","No")</f>
        <v/>
      </c>
      <c r="I1298" t="inlineStr">
        <is>
          <t>No</t>
        </is>
      </c>
      <c r="J1298">
        <f>IF(I1298="","",IF(AND(I1298=C1298,I1298=D1298),"Both",IF(I1298=C1298,"Opus",IF(I1298=D1298,"Sonnet","Neither"))))</f>
        <v/>
      </c>
    </row>
    <row r="1299">
      <c r="A1299" t="inlineStr">
        <is>
          <t>R360</t>
        </is>
      </c>
      <c r="B1299" t="inlineStr">
        <is>
          <t>Q2</t>
        </is>
      </c>
      <c r="C1299" t="inlineStr">
        <is>
          <t>Partial</t>
        </is>
      </c>
      <c r="D1299" t="inlineStr">
        <is>
          <t>Partial</t>
        </is>
      </c>
      <c r="E1299">
        <f>VLOOKUP(C1299,CategoryMap,2,0)</f>
        <v/>
      </c>
      <c r="F1299">
        <f>VLOOKUP(D1299,CategoryMap,2,0)</f>
        <v/>
      </c>
      <c r="G1299">
        <f>ABS(E1299-F1299)</f>
        <v/>
      </c>
      <c r="H1299">
        <f>IF(G1299=0,"Yes","No")</f>
        <v/>
      </c>
      <c r="I1299" t="inlineStr">
        <is>
          <t>Partial</t>
        </is>
      </c>
      <c r="J1299">
        <f>IF(I1299="","",IF(AND(I1299=C1299,I1299=D1299),"Both",IF(I1299=C1299,"Opus",IF(I1299=D1299,"Sonnet","Neither"))))</f>
        <v/>
      </c>
    </row>
    <row r="1300">
      <c r="A1300" t="inlineStr">
        <is>
          <t>R360</t>
        </is>
      </c>
      <c r="B1300" t="inlineStr">
        <is>
          <t>Q3</t>
        </is>
      </c>
      <c r="C1300" t="inlineStr">
        <is>
          <t>Yes</t>
        </is>
      </c>
      <c r="D1300" t="inlineStr">
        <is>
          <t>Partial</t>
        </is>
      </c>
      <c r="E1300">
        <f>VLOOKUP(C1300,CategoryMap,2,0)</f>
        <v/>
      </c>
      <c r="F1300">
        <f>VLOOKUP(D1300,CategoryMap,2,0)</f>
        <v/>
      </c>
      <c r="G1300">
        <f>ABS(E1300-F1300)</f>
        <v/>
      </c>
      <c r="H1300">
        <f>IF(G1300=0,"Yes","No")</f>
        <v/>
      </c>
      <c r="I1300" t="inlineStr">
        <is>
          <t>Partial</t>
        </is>
      </c>
      <c r="J1300">
        <f>IF(I1300="","",IF(AND(I1300=C1300,I1300=D1300),"Both",IF(I1300=C1300,"Opus",IF(I1300=D1300,"Sonnet","Neither"))))</f>
        <v/>
      </c>
    </row>
    <row r="1301">
      <c r="A1301" t="inlineStr">
        <is>
          <t>R360</t>
        </is>
      </c>
      <c r="B1301" t="inlineStr">
        <is>
          <t>Q4</t>
        </is>
      </c>
      <c r="C1301" t="inlineStr">
        <is>
          <t>Partial</t>
        </is>
      </c>
      <c r="D1301" t="inlineStr">
        <is>
          <t>Yes</t>
        </is>
      </c>
      <c r="E1301">
        <f>VLOOKUP(C1301,CategoryMap,2,0)</f>
        <v/>
      </c>
      <c r="F1301">
        <f>VLOOKUP(D1301,CategoryMap,2,0)</f>
        <v/>
      </c>
      <c r="G1301">
        <f>ABS(E1301-F1301)</f>
        <v/>
      </c>
      <c r="H1301">
        <f>IF(G1301=0,"Yes","No")</f>
        <v/>
      </c>
      <c r="I1301" t="inlineStr">
        <is>
          <t>Yes</t>
        </is>
      </c>
      <c r="J1301">
        <f>IF(I1301="","",IF(AND(I1301=C1301,I1301=D1301),"Both",IF(I1301=C1301,"Opus",IF(I1301=D1301,"Sonnet","Neither"))))</f>
        <v/>
      </c>
    </row>
    <row r="1302">
      <c r="A1302" t="inlineStr">
        <is>
          <t>R360</t>
        </is>
      </c>
      <c r="B1302" t="inlineStr">
        <is>
          <t>Q5</t>
        </is>
      </c>
      <c r="C1302" t="inlineStr">
        <is>
          <t>No</t>
        </is>
      </c>
      <c r="D1302" t="inlineStr">
        <is>
          <t>No</t>
        </is>
      </c>
      <c r="E1302">
        <f>VLOOKUP(C1302,CategoryMap,2,0)</f>
        <v/>
      </c>
      <c r="F1302">
        <f>VLOOKUP(D1302,CategoryMap,2,0)</f>
        <v/>
      </c>
      <c r="G1302">
        <f>ABS(E1302-F1302)</f>
        <v/>
      </c>
      <c r="H1302">
        <f>IF(G1302=0,"Yes","No")</f>
        <v/>
      </c>
      <c r="I1302" t="inlineStr">
        <is>
          <t>No</t>
        </is>
      </c>
      <c r="J1302">
        <f>IF(I1302="","",IF(AND(I1302=C1302,I1302=D1302),"Both",IF(I1302=C1302,"Opus",IF(I1302=D1302,"Sonnet","Neither"))))</f>
        <v/>
      </c>
    </row>
    <row r="1303">
      <c r="A1303" t="inlineStr">
        <is>
          <t>R360</t>
        </is>
      </c>
      <c r="B1303" t="inlineStr">
        <is>
          <t>Q6</t>
        </is>
      </c>
      <c r="C1303" t="inlineStr">
        <is>
          <t>Partial</t>
        </is>
      </c>
      <c r="D1303" t="inlineStr">
        <is>
          <t>No</t>
        </is>
      </c>
      <c r="E1303">
        <f>VLOOKUP(C1303,CategoryMap,2,0)</f>
        <v/>
      </c>
      <c r="F1303">
        <f>VLOOKUP(D1303,CategoryMap,2,0)</f>
        <v/>
      </c>
      <c r="G1303">
        <f>ABS(E1303-F1303)</f>
        <v/>
      </c>
      <c r="H1303">
        <f>IF(G1303=0,"Yes","No")</f>
        <v/>
      </c>
      <c r="I1303" t="inlineStr">
        <is>
          <t>No</t>
        </is>
      </c>
      <c r="J1303">
        <f>IF(I1303="","",IF(AND(I1303=C1303,I1303=D1303),"Both",IF(I1303=C1303,"Opus",IF(I1303=D1303,"Sonnet","Neither"))))</f>
        <v/>
      </c>
    </row>
    <row r="1304">
      <c r="A1304" t="inlineStr">
        <is>
          <t>R360</t>
        </is>
      </c>
      <c r="B1304" t="inlineStr">
        <is>
          <t>Q7</t>
        </is>
      </c>
      <c r="C1304" t="inlineStr">
        <is>
          <t>Yes</t>
        </is>
      </c>
      <c r="D1304" t="inlineStr">
        <is>
          <t>Yes</t>
        </is>
      </c>
      <c r="E1304">
        <f>VLOOKUP(C1304,CategoryMap,2,0)</f>
        <v/>
      </c>
      <c r="F1304">
        <f>VLOOKUP(D1304,CategoryMap,2,0)</f>
        <v/>
      </c>
      <c r="G1304">
        <f>ABS(E1304-F1304)</f>
        <v/>
      </c>
      <c r="H1304">
        <f>IF(G1304=0,"Yes","No")</f>
        <v/>
      </c>
      <c r="I1304" t="inlineStr">
        <is>
          <t>Yes</t>
        </is>
      </c>
      <c r="J1304">
        <f>IF(I1304="","",IF(AND(I1304=C1304,I1304=D1304),"Both",IF(I1304=C1304,"Opus",IF(I1304=D1304,"Sonnet","Neither"))))</f>
        <v/>
      </c>
    </row>
    <row r="1305">
      <c r="A1305" t="inlineStr">
        <is>
          <t>R360</t>
        </is>
      </c>
      <c r="B1305" t="inlineStr">
        <is>
          <t>Q8</t>
        </is>
      </c>
      <c r="C1305" t="inlineStr">
        <is>
          <t>Partial</t>
        </is>
      </c>
      <c r="D1305" t="inlineStr">
        <is>
          <t>Partial</t>
        </is>
      </c>
      <c r="E1305">
        <f>VLOOKUP(C1305,CategoryMap,2,0)</f>
        <v/>
      </c>
      <c r="F1305">
        <f>VLOOKUP(D1305,CategoryMap,2,0)</f>
        <v/>
      </c>
      <c r="G1305">
        <f>ABS(E1305-F1305)</f>
        <v/>
      </c>
      <c r="H1305">
        <f>IF(G1305=0,"Yes","No")</f>
        <v/>
      </c>
      <c r="I1305" t="inlineStr">
        <is>
          <t>Partial</t>
        </is>
      </c>
      <c r="J1305">
        <f>IF(I1305="","",IF(AND(I1305=C1305,I1305=D1305),"Both",IF(I1305=C1305,"Opus",IF(I1305=D1305,"Sonnet","Neither"))))</f>
        <v/>
      </c>
    </row>
    <row r="1306">
      <c r="A1306" t="inlineStr">
        <is>
          <t>R363</t>
        </is>
      </c>
      <c r="B1306" t="inlineStr">
        <is>
          <t>Q1</t>
        </is>
      </c>
      <c r="C1306" t="inlineStr">
        <is>
          <t>Partial</t>
        </is>
      </c>
      <c r="D1306" t="inlineStr">
        <is>
          <t>Partial</t>
        </is>
      </c>
      <c r="E1306">
        <f>VLOOKUP(C1306,CategoryMap,2,0)</f>
        <v/>
      </c>
      <c r="F1306">
        <f>VLOOKUP(D1306,CategoryMap,2,0)</f>
        <v/>
      </c>
      <c r="G1306">
        <f>ABS(E1306-F1306)</f>
        <v/>
      </c>
      <c r="H1306">
        <f>IF(G1306=0,"Yes","No")</f>
        <v/>
      </c>
      <c r="I1306" t="inlineStr">
        <is>
          <t>Partial</t>
        </is>
      </c>
      <c r="J1306">
        <f>IF(I1306="","",IF(AND(I1306=C1306,I1306=D1306),"Both",IF(I1306=C1306,"Opus",IF(I1306=D1306,"Sonnet","Neither"))))</f>
        <v/>
      </c>
    </row>
    <row r="1307">
      <c r="A1307" t="inlineStr">
        <is>
          <t>R363</t>
        </is>
      </c>
      <c r="B1307" t="inlineStr">
        <is>
          <t>Q2</t>
        </is>
      </c>
      <c r="C1307" t="inlineStr">
        <is>
          <t>Partial</t>
        </is>
      </c>
      <c r="D1307" t="inlineStr">
        <is>
          <t>No</t>
        </is>
      </c>
      <c r="E1307">
        <f>VLOOKUP(C1307,CategoryMap,2,0)</f>
        <v/>
      </c>
      <c r="F1307">
        <f>VLOOKUP(D1307,CategoryMap,2,0)</f>
        <v/>
      </c>
      <c r="G1307">
        <f>ABS(E1307-F1307)</f>
        <v/>
      </c>
      <c r="H1307">
        <f>IF(G1307=0,"Yes","No")</f>
        <v/>
      </c>
      <c r="I1307" t="inlineStr">
        <is>
          <t>Partial</t>
        </is>
      </c>
      <c r="J1307">
        <f>IF(I1307="","",IF(AND(I1307=C1307,I1307=D1307),"Both",IF(I1307=C1307,"Opus",IF(I1307=D1307,"Sonnet","Neither"))))</f>
        <v/>
      </c>
    </row>
    <row r="1308">
      <c r="A1308" t="inlineStr">
        <is>
          <t>R363</t>
        </is>
      </c>
      <c r="B1308" t="inlineStr">
        <is>
          <t>Q3</t>
        </is>
      </c>
      <c r="C1308" t="inlineStr">
        <is>
          <t>Yes</t>
        </is>
      </c>
      <c r="D1308" t="inlineStr">
        <is>
          <t>Yes</t>
        </is>
      </c>
      <c r="E1308">
        <f>VLOOKUP(C1308,CategoryMap,2,0)</f>
        <v/>
      </c>
      <c r="F1308">
        <f>VLOOKUP(D1308,CategoryMap,2,0)</f>
        <v/>
      </c>
      <c r="G1308">
        <f>ABS(E1308-F1308)</f>
        <v/>
      </c>
      <c r="H1308">
        <f>IF(G1308=0,"Yes","No")</f>
        <v/>
      </c>
      <c r="I1308" t="inlineStr">
        <is>
          <t>Yes</t>
        </is>
      </c>
      <c r="J1308">
        <f>IF(I1308="","",IF(AND(I1308=C1308,I1308=D1308),"Both",IF(I1308=C1308,"Opus",IF(I1308=D1308,"Sonnet","Neither"))))</f>
        <v/>
      </c>
    </row>
    <row r="1309">
      <c r="A1309" t="inlineStr">
        <is>
          <t>R363</t>
        </is>
      </c>
      <c r="B1309" t="inlineStr">
        <is>
          <t>Q4</t>
        </is>
      </c>
      <c r="C1309" t="inlineStr">
        <is>
          <t>No</t>
        </is>
      </c>
      <c r="D1309" t="inlineStr">
        <is>
          <t>No</t>
        </is>
      </c>
      <c r="E1309">
        <f>VLOOKUP(C1309,CategoryMap,2,0)</f>
        <v/>
      </c>
      <c r="F1309">
        <f>VLOOKUP(D1309,CategoryMap,2,0)</f>
        <v/>
      </c>
      <c r="G1309">
        <f>ABS(E1309-F1309)</f>
        <v/>
      </c>
      <c r="H1309">
        <f>IF(G1309=0,"Yes","No")</f>
        <v/>
      </c>
      <c r="I1309" t="inlineStr">
        <is>
          <t>No</t>
        </is>
      </c>
      <c r="J1309">
        <f>IF(I1309="","",IF(AND(I1309=C1309,I1309=D1309),"Both",IF(I1309=C1309,"Opus",IF(I1309=D1309,"Sonnet","Neither"))))</f>
        <v/>
      </c>
    </row>
    <row r="1310">
      <c r="A1310" t="inlineStr">
        <is>
          <t>R363</t>
        </is>
      </c>
      <c r="B1310" t="inlineStr">
        <is>
          <t>Q5</t>
        </is>
      </c>
      <c r="C1310" t="inlineStr">
        <is>
          <t>Partial</t>
        </is>
      </c>
      <c r="D1310" t="inlineStr">
        <is>
          <t>Partial</t>
        </is>
      </c>
      <c r="E1310">
        <f>VLOOKUP(C1310,CategoryMap,2,0)</f>
        <v/>
      </c>
      <c r="F1310">
        <f>VLOOKUP(D1310,CategoryMap,2,0)</f>
        <v/>
      </c>
      <c r="G1310">
        <f>ABS(E1310-F1310)</f>
        <v/>
      </c>
      <c r="H1310">
        <f>IF(G1310=0,"Yes","No")</f>
        <v/>
      </c>
      <c r="I1310" t="inlineStr">
        <is>
          <t>Partial</t>
        </is>
      </c>
      <c r="J1310">
        <f>IF(I1310="","",IF(AND(I1310=C1310,I1310=D1310),"Both",IF(I1310=C1310,"Opus",IF(I1310=D1310,"Sonnet","Neither"))))</f>
        <v/>
      </c>
    </row>
    <row r="1311">
      <c r="A1311" t="inlineStr">
        <is>
          <t>R363</t>
        </is>
      </c>
      <c r="B1311" t="inlineStr">
        <is>
          <t>Q6</t>
        </is>
      </c>
      <c r="C1311" t="inlineStr">
        <is>
          <t>Partial</t>
        </is>
      </c>
      <c r="D1311" t="inlineStr">
        <is>
          <t>Partial</t>
        </is>
      </c>
      <c r="E1311">
        <f>VLOOKUP(C1311,CategoryMap,2,0)</f>
        <v/>
      </c>
      <c r="F1311">
        <f>VLOOKUP(D1311,CategoryMap,2,0)</f>
        <v/>
      </c>
      <c r="G1311">
        <f>ABS(E1311-F1311)</f>
        <v/>
      </c>
      <c r="H1311">
        <f>IF(G1311=0,"Yes","No")</f>
        <v/>
      </c>
      <c r="I1311" t="inlineStr">
        <is>
          <t>Partial</t>
        </is>
      </c>
      <c r="J1311">
        <f>IF(I1311="","",IF(AND(I1311=C1311,I1311=D1311),"Both",IF(I1311=C1311,"Opus",IF(I1311=D1311,"Sonnet","Neither"))))</f>
        <v/>
      </c>
    </row>
    <row r="1312">
      <c r="A1312" t="inlineStr">
        <is>
          <t>R363</t>
        </is>
      </c>
      <c r="B1312" t="inlineStr">
        <is>
          <t>Q7</t>
        </is>
      </c>
      <c r="C1312" t="inlineStr">
        <is>
          <t>No</t>
        </is>
      </c>
      <c r="D1312" t="inlineStr">
        <is>
          <t>No</t>
        </is>
      </c>
      <c r="E1312">
        <f>VLOOKUP(C1312,CategoryMap,2,0)</f>
        <v/>
      </c>
      <c r="F1312">
        <f>VLOOKUP(D1312,CategoryMap,2,0)</f>
        <v/>
      </c>
      <c r="G1312">
        <f>ABS(E1312-F1312)</f>
        <v/>
      </c>
      <c r="H1312">
        <f>IF(G1312=0,"Yes","No")</f>
        <v/>
      </c>
      <c r="I1312" t="inlineStr">
        <is>
          <t>No</t>
        </is>
      </c>
      <c r="J1312">
        <f>IF(I1312="","",IF(AND(I1312=C1312,I1312=D1312),"Both",IF(I1312=C1312,"Opus",IF(I1312=D1312,"Sonnet","Neither"))))</f>
        <v/>
      </c>
    </row>
    <row r="1313">
      <c r="A1313" t="inlineStr">
        <is>
          <t>R363</t>
        </is>
      </c>
      <c r="B1313" t="inlineStr">
        <is>
          <t>Q8</t>
        </is>
      </c>
      <c r="C1313" t="inlineStr">
        <is>
          <t>Partial</t>
        </is>
      </c>
      <c r="D1313" t="inlineStr">
        <is>
          <t>Partial</t>
        </is>
      </c>
      <c r="E1313">
        <f>VLOOKUP(C1313,CategoryMap,2,0)</f>
        <v/>
      </c>
      <c r="F1313">
        <f>VLOOKUP(D1313,CategoryMap,2,0)</f>
        <v/>
      </c>
      <c r="G1313">
        <f>ABS(E1313-F1313)</f>
        <v/>
      </c>
      <c r="H1313">
        <f>IF(G1313=0,"Yes","No")</f>
        <v/>
      </c>
      <c r="I1313" t="inlineStr">
        <is>
          <t>Partial</t>
        </is>
      </c>
      <c r="J1313">
        <f>IF(I1313="","",IF(AND(I1313=C1313,I1313=D1313),"Both",IF(I1313=C1313,"Opus",IF(I1313=D1313,"Sonnet","Neither"))))</f>
        <v/>
      </c>
    </row>
    <row r="1314">
      <c r="A1314" t="inlineStr">
        <is>
          <t>R365</t>
        </is>
      </c>
      <c r="B1314" t="inlineStr">
        <is>
          <t>Q1</t>
        </is>
      </c>
      <c r="C1314" t="inlineStr">
        <is>
          <t>Partial</t>
        </is>
      </c>
      <c r="D1314" t="inlineStr">
        <is>
          <t>No</t>
        </is>
      </c>
      <c r="E1314">
        <f>VLOOKUP(C1314,CategoryMap,2,0)</f>
        <v/>
      </c>
      <c r="F1314">
        <f>VLOOKUP(D1314,CategoryMap,2,0)</f>
        <v/>
      </c>
      <c r="G1314">
        <f>ABS(E1314-F1314)</f>
        <v/>
      </c>
      <c r="H1314">
        <f>IF(G1314=0,"Yes","No")</f>
        <v/>
      </c>
      <c r="I1314" t="inlineStr">
        <is>
          <t>Partial</t>
        </is>
      </c>
      <c r="J1314">
        <f>IF(I1314="","",IF(AND(I1314=C1314,I1314=D1314),"Both",IF(I1314=C1314,"Opus",IF(I1314=D1314,"Sonnet","Neither"))))</f>
        <v/>
      </c>
    </row>
    <row r="1315">
      <c r="A1315" t="inlineStr">
        <is>
          <t>R365</t>
        </is>
      </c>
      <c r="B1315" t="inlineStr">
        <is>
          <t>Q2</t>
        </is>
      </c>
      <c r="C1315" t="inlineStr">
        <is>
          <t>Partial</t>
        </is>
      </c>
      <c r="D1315" t="inlineStr">
        <is>
          <t>Partial</t>
        </is>
      </c>
      <c r="E1315">
        <f>VLOOKUP(C1315,CategoryMap,2,0)</f>
        <v/>
      </c>
      <c r="F1315">
        <f>VLOOKUP(D1315,CategoryMap,2,0)</f>
        <v/>
      </c>
      <c r="G1315">
        <f>ABS(E1315-F1315)</f>
        <v/>
      </c>
      <c r="H1315">
        <f>IF(G1315=0,"Yes","No")</f>
        <v/>
      </c>
      <c r="I1315" t="inlineStr">
        <is>
          <t>Partial</t>
        </is>
      </c>
      <c r="J1315">
        <f>IF(I1315="","",IF(AND(I1315=C1315,I1315=D1315),"Both",IF(I1315=C1315,"Opus",IF(I1315=D1315,"Sonnet","Neither"))))</f>
        <v/>
      </c>
    </row>
    <row r="1316">
      <c r="A1316" t="inlineStr">
        <is>
          <t>R365</t>
        </is>
      </c>
      <c r="B1316" t="inlineStr">
        <is>
          <t>Q3</t>
        </is>
      </c>
      <c r="C1316" t="inlineStr">
        <is>
          <t>Partial</t>
        </is>
      </c>
      <c r="D1316" t="inlineStr">
        <is>
          <t>No</t>
        </is>
      </c>
      <c r="E1316">
        <f>VLOOKUP(C1316,CategoryMap,2,0)</f>
        <v/>
      </c>
      <c r="F1316">
        <f>VLOOKUP(D1316,CategoryMap,2,0)</f>
        <v/>
      </c>
      <c r="G1316">
        <f>ABS(E1316-F1316)</f>
        <v/>
      </c>
      <c r="H1316">
        <f>IF(G1316=0,"Yes","No")</f>
        <v/>
      </c>
      <c r="I1316" t="inlineStr">
        <is>
          <t>No</t>
        </is>
      </c>
      <c r="J1316">
        <f>IF(I1316="","",IF(AND(I1316=C1316,I1316=D1316),"Both",IF(I1316=C1316,"Opus",IF(I1316=D1316,"Sonnet","Neither"))))</f>
        <v/>
      </c>
    </row>
    <row r="1317">
      <c r="A1317" t="inlineStr">
        <is>
          <t>R365</t>
        </is>
      </c>
      <c r="B1317" t="inlineStr">
        <is>
          <t>Q4</t>
        </is>
      </c>
      <c r="C1317" t="inlineStr">
        <is>
          <t>Partial</t>
        </is>
      </c>
      <c r="D1317" t="inlineStr">
        <is>
          <t>Yes</t>
        </is>
      </c>
      <c r="E1317">
        <f>VLOOKUP(C1317,CategoryMap,2,0)</f>
        <v/>
      </c>
      <c r="F1317">
        <f>VLOOKUP(D1317,CategoryMap,2,0)</f>
        <v/>
      </c>
      <c r="G1317">
        <f>ABS(E1317-F1317)</f>
        <v/>
      </c>
      <c r="H1317">
        <f>IF(G1317=0,"Yes","No")</f>
        <v/>
      </c>
      <c r="I1317" t="inlineStr">
        <is>
          <t>Partial</t>
        </is>
      </c>
      <c r="J1317">
        <f>IF(I1317="","",IF(AND(I1317=C1317,I1317=D1317),"Both",IF(I1317=C1317,"Opus",IF(I1317=D1317,"Sonnet","Neither"))))</f>
        <v/>
      </c>
    </row>
    <row r="1318">
      <c r="A1318" t="inlineStr">
        <is>
          <t>R365</t>
        </is>
      </c>
      <c r="B1318" t="inlineStr">
        <is>
          <t>Q5</t>
        </is>
      </c>
      <c r="C1318" t="inlineStr">
        <is>
          <t>Yes</t>
        </is>
      </c>
      <c r="D1318" t="inlineStr">
        <is>
          <t>Yes</t>
        </is>
      </c>
      <c r="E1318">
        <f>VLOOKUP(C1318,CategoryMap,2,0)</f>
        <v/>
      </c>
      <c r="F1318">
        <f>VLOOKUP(D1318,CategoryMap,2,0)</f>
        <v/>
      </c>
      <c r="G1318">
        <f>ABS(E1318-F1318)</f>
        <v/>
      </c>
      <c r="H1318">
        <f>IF(G1318=0,"Yes","No")</f>
        <v/>
      </c>
      <c r="I1318" t="inlineStr">
        <is>
          <t>Yes</t>
        </is>
      </c>
      <c r="J1318">
        <f>IF(I1318="","",IF(AND(I1318=C1318,I1318=D1318),"Both",IF(I1318=C1318,"Opus",IF(I1318=D1318,"Sonnet","Neither"))))</f>
        <v/>
      </c>
    </row>
    <row r="1319">
      <c r="A1319" t="inlineStr">
        <is>
          <t>R365</t>
        </is>
      </c>
      <c r="B1319" t="inlineStr">
        <is>
          <t>Q6</t>
        </is>
      </c>
      <c r="C1319" t="inlineStr">
        <is>
          <t>Yes</t>
        </is>
      </c>
      <c r="D1319" t="inlineStr">
        <is>
          <t>Yes</t>
        </is>
      </c>
      <c r="E1319">
        <f>VLOOKUP(C1319,CategoryMap,2,0)</f>
        <v/>
      </c>
      <c r="F1319">
        <f>VLOOKUP(D1319,CategoryMap,2,0)</f>
        <v/>
      </c>
      <c r="G1319">
        <f>ABS(E1319-F1319)</f>
        <v/>
      </c>
      <c r="H1319">
        <f>IF(G1319=0,"Yes","No")</f>
        <v/>
      </c>
      <c r="I1319" t="inlineStr">
        <is>
          <t>Yes</t>
        </is>
      </c>
      <c r="J1319">
        <f>IF(I1319="","",IF(AND(I1319=C1319,I1319=D1319),"Both",IF(I1319=C1319,"Opus",IF(I1319=D1319,"Sonnet","Neither"))))</f>
        <v/>
      </c>
    </row>
    <row r="1320">
      <c r="A1320" t="inlineStr">
        <is>
          <t>R365</t>
        </is>
      </c>
      <c r="B1320" t="inlineStr">
        <is>
          <t>Q7</t>
        </is>
      </c>
      <c r="C1320" t="inlineStr">
        <is>
          <t>Yes</t>
        </is>
      </c>
      <c r="D1320" t="inlineStr">
        <is>
          <t>Yes</t>
        </is>
      </c>
      <c r="E1320">
        <f>VLOOKUP(C1320,CategoryMap,2,0)</f>
        <v/>
      </c>
      <c r="F1320">
        <f>VLOOKUP(D1320,CategoryMap,2,0)</f>
        <v/>
      </c>
      <c r="G1320">
        <f>ABS(E1320-F1320)</f>
        <v/>
      </c>
      <c r="H1320">
        <f>IF(G1320=0,"Yes","No")</f>
        <v/>
      </c>
      <c r="I1320" t="inlineStr">
        <is>
          <t>Yes</t>
        </is>
      </c>
      <c r="J1320">
        <f>IF(I1320="","",IF(AND(I1320=C1320,I1320=D1320),"Both",IF(I1320=C1320,"Opus",IF(I1320=D1320,"Sonnet","Neither"))))</f>
        <v/>
      </c>
    </row>
    <row r="1321">
      <c r="A1321" t="inlineStr">
        <is>
          <t>R365</t>
        </is>
      </c>
      <c r="B1321" t="inlineStr">
        <is>
          <t>Q8</t>
        </is>
      </c>
      <c r="C1321" t="inlineStr">
        <is>
          <t>Partial</t>
        </is>
      </c>
      <c r="D1321" t="inlineStr">
        <is>
          <t>No</t>
        </is>
      </c>
      <c r="E1321">
        <f>VLOOKUP(C1321,CategoryMap,2,0)</f>
        <v/>
      </c>
      <c r="F1321">
        <f>VLOOKUP(D1321,CategoryMap,2,0)</f>
        <v/>
      </c>
      <c r="G1321">
        <f>ABS(E1321-F1321)</f>
        <v/>
      </c>
      <c r="H1321">
        <f>IF(G1321=0,"Yes","No")</f>
        <v/>
      </c>
      <c r="I1321" t="inlineStr">
        <is>
          <t>No</t>
        </is>
      </c>
      <c r="J1321">
        <f>IF(I1321="","",IF(AND(I1321=C1321,I1321=D1321),"Both",IF(I1321=C1321,"Opus",IF(I1321=D1321,"Sonnet","Neither"))))</f>
        <v/>
      </c>
    </row>
    <row r="1322">
      <c r="A1322" t="inlineStr">
        <is>
          <t>R366</t>
        </is>
      </c>
      <c r="B1322" t="inlineStr">
        <is>
          <t>Q1</t>
        </is>
      </c>
      <c r="C1322" t="inlineStr">
        <is>
          <t>Partial</t>
        </is>
      </c>
      <c r="D1322" t="inlineStr">
        <is>
          <t>Partial</t>
        </is>
      </c>
      <c r="E1322">
        <f>VLOOKUP(C1322,CategoryMap,2,0)</f>
        <v/>
      </c>
      <c r="F1322">
        <f>VLOOKUP(D1322,CategoryMap,2,0)</f>
        <v/>
      </c>
      <c r="G1322">
        <f>ABS(E1322-F1322)</f>
        <v/>
      </c>
      <c r="H1322">
        <f>IF(G1322=0,"Yes","No")</f>
        <v/>
      </c>
      <c r="I1322" t="inlineStr">
        <is>
          <t>Partial</t>
        </is>
      </c>
      <c r="J1322">
        <f>IF(I1322="","",IF(AND(I1322=C1322,I1322=D1322),"Both",IF(I1322=C1322,"Opus",IF(I1322=D1322,"Sonnet","Neither"))))</f>
        <v/>
      </c>
    </row>
    <row r="1323">
      <c r="A1323" t="inlineStr">
        <is>
          <t>R366</t>
        </is>
      </c>
      <c r="B1323" t="inlineStr">
        <is>
          <t>Q2</t>
        </is>
      </c>
      <c r="C1323" t="inlineStr">
        <is>
          <t>Yes</t>
        </is>
      </c>
      <c r="D1323" t="inlineStr">
        <is>
          <t>Partial</t>
        </is>
      </c>
      <c r="E1323">
        <f>VLOOKUP(C1323,CategoryMap,2,0)</f>
        <v/>
      </c>
      <c r="F1323">
        <f>VLOOKUP(D1323,CategoryMap,2,0)</f>
        <v/>
      </c>
      <c r="G1323">
        <f>ABS(E1323-F1323)</f>
        <v/>
      </c>
      <c r="H1323">
        <f>IF(G1323=0,"Yes","No")</f>
        <v/>
      </c>
      <c r="I1323" t="inlineStr">
        <is>
          <t>Partial</t>
        </is>
      </c>
      <c r="J1323">
        <f>IF(I1323="","",IF(AND(I1323=C1323,I1323=D1323),"Both",IF(I1323=C1323,"Opus",IF(I1323=D1323,"Sonnet","Neither"))))</f>
        <v/>
      </c>
    </row>
    <row r="1324">
      <c r="A1324" t="inlineStr">
        <is>
          <t>R366</t>
        </is>
      </c>
      <c r="B1324" t="inlineStr">
        <is>
          <t>Q3</t>
        </is>
      </c>
      <c r="C1324" t="inlineStr">
        <is>
          <t>Yes</t>
        </is>
      </c>
      <c r="D1324" t="inlineStr">
        <is>
          <t>Yes</t>
        </is>
      </c>
      <c r="E1324">
        <f>VLOOKUP(C1324,CategoryMap,2,0)</f>
        <v/>
      </c>
      <c r="F1324">
        <f>VLOOKUP(D1324,CategoryMap,2,0)</f>
        <v/>
      </c>
      <c r="G1324">
        <f>ABS(E1324-F1324)</f>
        <v/>
      </c>
      <c r="H1324">
        <f>IF(G1324=0,"Yes","No")</f>
        <v/>
      </c>
      <c r="I1324" t="inlineStr">
        <is>
          <t>Yes</t>
        </is>
      </c>
      <c r="J1324">
        <f>IF(I1324="","",IF(AND(I1324=C1324,I1324=D1324),"Both",IF(I1324=C1324,"Opus",IF(I1324=D1324,"Sonnet","Neither"))))</f>
        <v/>
      </c>
    </row>
    <row r="1325">
      <c r="A1325" t="inlineStr">
        <is>
          <t>R366</t>
        </is>
      </c>
      <c r="B1325" t="inlineStr">
        <is>
          <t>Q4</t>
        </is>
      </c>
      <c r="C1325" t="inlineStr">
        <is>
          <t>Partial</t>
        </is>
      </c>
      <c r="D1325" t="inlineStr">
        <is>
          <t>Partial</t>
        </is>
      </c>
      <c r="E1325">
        <f>VLOOKUP(C1325,CategoryMap,2,0)</f>
        <v/>
      </c>
      <c r="F1325">
        <f>VLOOKUP(D1325,CategoryMap,2,0)</f>
        <v/>
      </c>
      <c r="G1325">
        <f>ABS(E1325-F1325)</f>
        <v/>
      </c>
      <c r="H1325">
        <f>IF(G1325=0,"Yes","No")</f>
        <v/>
      </c>
      <c r="I1325" t="inlineStr">
        <is>
          <t>Partial</t>
        </is>
      </c>
      <c r="J1325">
        <f>IF(I1325="","",IF(AND(I1325=C1325,I1325=D1325),"Both",IF(I1325=C1325,"Opus",IF(I1325=D1325,"Sonnet","Neither"))))</f>
        <v/>
      </c>
    </row>
    <row r="1326">
      <c r="A1326" t="inlineStr">
        <is>
          <t>R366</t>
        </is>
      </c>
      <c r="B1326" t="inlineStr">
        <is>
          <t>Q5</t>
        </is>
      </c>
      <c r="C1326" t="inlineStr">
        <is>
          <t>Yes</t>
        </is>
      </c>
      <c r="D1326" t="inlineStr">
        <is>
          <t>Yes</t>
        </is>
      </c>
      <c r="E1326">
        <f>VLOOKUP(C1326,CategoryMap,2,0)</f>
        <v/>
      </c>
      <c r="F1326">
        <f>VLOOKUP(D1326,CategoryMap,2,0)</f>
        <v/>
      </c>
      <c r="G1326">
        <f>ABS(E1326-F1326)</f>
        <v/>
      </c>
      <c r="H1326">
        <f>IF(G1326=0,"Yes","No")</f>
        <v/>
      </c>
      <c r="I1326" t="inlineStr">
        <is>
          <t>Yes</t>
        </is>
      </c>
      <c r="J1326">
        <f>IF(I1326="","",IF(AND(I1326=C1326,I1326=D1326),"Both",IF(I1326=C1326,"Opus",IF(I1326=D1326,"Sonnet","Neither"))))</f>
        <v/>
      </c>
    </row>
    <row r="1327">
      <c r="A1327" t="inlineStr">
        <is>
          <t>R366</t>
        </is>
      </c>
      <c r="B1327" t="inlineStr">
        <is>
          <t>Q6</t>
        </is>
      </c>
      <c r="C1327" t="inlineStr">
        <is>
          <t>Partial</t>
        </is>
      </c>
      <c r="D1327" t="inlineStr">
        <is>
          <t>Yes</t>
        </is>
      </c>
      <c r="E1327">
        <f>VLOOKUP(C1327,CategoryMap,2,0)</f>
        <v/>
      </c>
      <c r="F1327">
        <f>VLOOKUP(D1327,CategoryMap,2,0)</f>
        <v/>
      </c>
      <c r="G1327">
        <f>ABS(E1327-F1327)</f>
        <v/>
      </c>
      <c r="H1327">
        <f>IF(G1327=0,"Yes","No")</f>
        <v/>
      </c>
      <c r="I1327" t="inlineStr">
        <is>
          <t>Partial</t>
        </is>
      </c>
      <c r="J1327">
        <f>IF(I1327="","",IF(AND(I1327=C1327,I1327=D1327),"Both",IF(I1327=C1327,"Opus",IF(I1327=D1327,"Sonnet","Neither"))))</f>
        <v/>
      </c>
    </row>
    <row r="1328">
      <c r="A1328" t="inlineStr">
        <is>
          <t>R366</t>
        </is>
      </c>
      <c r="B1328" t="inlineStr">
        <is>
          <t>Q7</t>
        </is>
      </c>
      <c r="C1328" t="inlineStr">
        <is>
          <t>Yes</t>
        </is>
      </c>
      <c r="D1328" t="inlineStr">
        <is>
          <t>Yes</t>
        </is>
      </c>
      <c r="E1328">
        <f>VLOOKUP(C1328,CategoryMap,2,0)</f>
        <v/>
      </c>
      <c r="F1328">
        <f>VLOOKUP(D1328,CategoryMap,2,0)</f>
        <v/>
      </c>
      <c r="G1328">
        <f>ABS(E1328-F1328)</f>
        <v/>
      </c>
      <c r="H1328">
        <f>IF(G1328=0,"Yes","No")</f>
        <v/>
      </c>
      <c r="I1328" t="inlineStr">
        <is>
          <t>Yes</t>
        </is>
      </c>
      <c r="J1328">
        <f>IF(I1328="","",IF(AND(I1328=C1328,I1328=D1328),"Both",IF(I1328=C1328,"Opus",IF(I1328=D1328,"Sonnet","Neither"))))</f>
        <v/>
      </c>
    </row>
    <row r="1329">
      <c r="A1329" t="inlineStr">
        <is>
          <t>R366</t>
        </is>
      </c>
      <c r="B1329" t="inlineStr">
        <is>
          <t>Q8</t>
        </is>
      </c>
      <c r="C1329" t="inlineStr">
        <is>
          <t>Yes</t>
        </is>
      </c>
      <c r="D1329" t="inlineStr">
        <is>
          <t>Partial</t>
        </is>
      </c>
      <c r="E1329">
        <f>VLOOKUP(C1329,CategoryMap,2,0)</f>
        <v/>
      </c>
      <c r="F1329">
        <f>VLOOKUP(D1329,CategoryMap,2,0)</f>
        <v/>
      </c>
      <c r="G1329">
        <f>ABS(E1329-F1329)</f>
        <v/>
      </c>
      <c r="H1329">
        <f>IF(G1329=0,"Yes","No")</f>
        <v/>
      </c>
      <c r="I1329" t="inlineStr">
        <is>
          <t>Partial</t>
        </is>
      </c>
      <c r="J1329">
        <f>IF(I1329="","",IF(AND(I1329=C1329,I1329=D1329),"Both",IF(I1329=C1329,"Opus",IF(I1329=D1329,"Sonnet","Neither"))))</f>
        <v/>
      </c>
    </row>
    <row r="1330">
      <c r="A1330" t="inlineStr">
        <is>
          <t>R368</t>
        </is>
      </c>
      <c r="B1330" t="inlineStr">
        <is>
          <t>Q1</t>
        </is>
      </c>
      <c r="C1330" t="inlineStr">
        <is>
          <t>Partial</t>
        </is>
      </c>
      <c r="D1330" t="inlineStr">
        <is>
          <t>Partial</t>
        </is>
      </c>
      <c r="E1330">
        <f>VLOOKUP(C1330,CategoryMap,2,0)</f>
        <v/>
      </c>
      <c r="F1330">
        <f>VLOOKUP(D1330,CategoryMap,2,0)</f>
        <v/>
      </c>
      <c r="G1330">
        <f>ABS(E1330-F1330)</f>
        <v/>
      </c>
      <c r="H1330">
        <f>IF(G1330=0,"Yes","No")</f>
        <v/>
      </c>
      <c r="I1330" t="inlineStr">
        <is>
          <t>Partial</t>
        </is>
      </c>
      <c r="J1330">
        <f>IF(I1330="","",IF(AND(I1330=C1330,I1330=D1330),"Both",IF(I1330=C1330,"Opus",IF(I1330=D1330,"Sonnet","Neither"))))</f>
        <v/>
      </c>
    </row>
    <row r="1331">
      <c r="A1331" t="inlineStr">
        <is>
          <t>R368</t>
        </is>
      </c>
      <c r="B1331" t="inlineStr">
        <is>
          <t>Q2</t>
        </is>
      </c>
      <c r="C1331" t="inlineStr">
        <is>
          <t>Yes</t>
        </is>
      </c>
      <c r="D1331" t="inlineStr">
        <is>
          <t>Yes</t>
        </is>
      </c>
      <c r="E1331">
        <f>VLOOKUP(C1331,CategoryMap,2,0)</f>
        <v/>
      </c>
      <c r="F1331">
        <f>VLOOKUP(D1331,CategoryMap,2,0)</f>
        <v/>
      </c>
      <c r="G1331">
        <f>ABS(E1331-F1331)</f>
        <v/>
      </c>
      <c r="H1331">
        <f>IF(G1331=0,"Yes","No")</f>
        <v/>
      </c>
      <c r="I1331" t="inlineStr">
        <is>
          <t>Yes</t>
        </is>
      </c>
      <c r="J1331">
        <f>IF(I1331="","",IF(AND(I1331=C1331,I1331=D1331),"Both",IF(I1331=C1331,"Opus",IF(I1331=D1331,"Sonnet","Neither"))))</f>
        <v/>
      </c>
    </row>
    <row r="1332">
      <c r="A1332" t="inlineStr">
        <is>
          <t>R368</t>
        </is>
      </c>
      <c r="B1332" t="inlineStr">
        <is>
          <t>Q3</t>
        </is>
      </c>
      <c r="C1332" t="inlineStr">
        <is>
          <t>Yes</t>
        </is>
      </c>
      <c r="D1332" t="inlineStr">
        <is>
          <t>Partial</t>
        </is>
      </c>
      <c r="E1332">
        <f>VLOOKUP(C1332,CategoryMap,2,0)</f>
        <v/>
      </c>
      <c r="F1332">
        <f>VLOOKUP(D1332,CategoryMap,2,0)</f>
        <v/>
      </c>
      <c r="G1332">
        <f>ABS(E1332-F1332)</f>
        <v/>
      </c>
      <c r="H1332">
        <f>IF(G1332=0,"Yes","No")</f>
        <v/>
      </c>
      <c r="I1332" t="inlineStr">
        <is>
          <t>Yes</t>
        </is>
      </c>
      <c r="J1332">
        <f>IF(I1332="","",IF(AND(I1332=C1332,I1332=D1332),"Both",IF(I1332=C1332,"Opus",IF(I1332=D1332,"Sonnet","Neither"))))</f>
        <v/>
      </c>
    </row>
    <row r="1333">
      <c r="A1333" t="inlineStr">
        <is>
          <t>R368</t>
        </is>
      </c>
      <c r="B1333" t="inlineStr">
        <is>
          <t>Q4</t>
        </is>
      </c>
      <c r="C1333" t="inlineStr">
        <is>
          <t>Partial</t>
        </is>
      </c>
      <c r="D1333" t="inlineStr">
        <is>
          <t>Partial</t>
        </is>
      </c>
      <c r="E1333">
        <f>VLOOKUP(C1333,CategoryMap,2,0)</f>
        <v/>
      </c>
      <c r="F1333">
        <f>VLOOKUP(D1333,CategoryMap,2,0)</f>
        <v/>
      </c>
      <c r="G1333">
        <f>ABS(E1333-F1333)</f>
        <v/>
      </c>
      <c r="H1333">
        <f>IF(G1333=0,"Yes","No")</f>
        <v/>
      </c>
      <c r="I1333" t="inlineStr">
        <is>
          <t>Partial</t>
        </is>
      </c>
      <c r="J1333">
        <f>IF(I1333="","",IF(AND(I1333=C1333,I1333=D1333),"Both",IF(I1333=C1333,"Opus",IF(I1333=D1333,"Sonnet","Neither"))))</f>
        <v/>
      </c>
    </row>
    <row r="1334">
      <c r="A1334" t="inlineStr">
        <is>
          <t>R368</t>
        </is>
      </c>
      <c r="B1334" t="inlineStr">
        <is>
          <t>Q5</t>
        </is>
      </c>
      <c r="C1334" t="inlineStr">
        <is>
          <t>Partial</t>
        </is>
      </c>
      <c r="D1334" t="inlineStr">
        <is>
          <t>Yes</t>
        </is>
      </c>
      <c r="E1334">
        <f>VLOOKUP(C1334,CategoryMap,2,0)</f>
        <v/>
      </c>
      <c r="F1334">
        <f>VLOOKUP(D1334,CategoryMap,2,0)</f>
        <v/>
      </c>
      <c r="G1334">
        <f>ABS(E1334-F1334)</f>
        <v/>
      </c>
      <c r="H1334">
        <f>IF(G1334=0,"Yes","No")</f>
        <v/>
      </c>
      <c r="I1334" t="inlineStr">
        <is>
          <t>Partial</t>
        </is>
      </c>
      <c r="J1334">
        <f>IF(I1334="","",IF(AND(I1334=C1334,I1334=D1334),"Both",IF(I1334=C1334,"Opus",IF(I1334=D1334,"Sonnet","Neither"))))</f>
        <v/>
      </c>
    </row>
    <row r="1335">
      <c r="A1335" t="inlineStr">
        <is>
          <t>R368</t>
        </is>
      </c>
      <c r="B1335" t="inlineStr">
        <is>
          <t>Q6</t>
        </is>
      </c>
      <c r="C1335" t="inlineStr">
        <is>
          <t>Partial</t>
        </is>
      </c>
      <c r="D1335" t="inlineStr">
        <is>
          <t>Partial</t>
        </is>
      </c>
      <c r="E1335">
        <f>VLOOKUP(C1335,CategoryMap,2,0)</f>
        <v/>
      </c>
      <c r="F1335">
        <f>VLOOKUP(D1335,CategoryMap,2,0)</f>
        <v/>
      </c>
      <c r="G1335">
        <f>ABS(E1335-F1335)</f>
        <v/>
      </c>
      <c r="H1335">
        <f>IF(G1335=0,"Yes","No")</f>
        <v/>
      </c>
      <c r="I1335" t="inlineStr">
        <is>
          <t>Partial</t>
        </is>
      </c>
      <c r="J1335">
        <f>IF(I1335="","",IF(AND(I1335=C1335,I1335=D1335),"Both",IF(I1335=C1335,"Opus",IF(I1335=D1335,"Sonnet","Neither"))))</f>
        <v/>
      </c>
    </row>
    <row r="1336">
      <c r="A1336" t="inlineStr">
        <is>
          <t>R368</t>
        </is>
      </c>
      <c r="B1336" t="inlineStr">
        <is>
          <t>Q7</t>
        </is>
      </c>
      <c r="C1336" t="inlineStr">
        <is>
          <t>Yes</t>
        </is>
      </c>
      <c r="D1336" t="inlineStr">
        <is>
          <t>Yes</t>
        </is>
      </c>
      <c r="E1336">
        <f>VLOOKUP(C1336,CategoryMap,2,0)</f>
        <v/>
      </c>
      <c r="F1336">
        <f>VLOOKUP(D1336,CategoryMap,2,0)</f>
        <v/>
      </c>
      <c r="G1336">
        <f>ABS(E1336-F1336)</f>
        <v/>
      </c>
      <c r="H1336">
        <f>IF(G1336=0,"Yes","No")</f>
        <v/>
      </c>
      <c r="I1336" t="inlineStr">
        <is>
          <t>Yes</t>
        </is>
      </c>
      <c r="J1336">
        <f>IF(I1336="","",IF(AND(I1336=C1336,I1336=D1336),"Both",IF(I1336=C1336,"Opus",IF(I1336=D1336,"Sonnet","Neither"))))</f>
        <v/>
      </c>
    </row>
    <row r="1337">
      <c r="A1337" t="inlineStr">
        <is>
          <t>R368</t>
        </is>
      </c>
      <c r="B1337" t="inlineStr">
        <is>
          <t>Q8</t>
        </is>
      </c>
      <c r="C1337" t="inlineStr">
        <is>
          <t>Partial</t>
        </is>
      </c>
      <c r="D1337" t="inlineStr">
        <is>
          <t>Partial</t>
        </is>
      </c>
      <c r="E1337">
        <f>VLOOKUP(C1337,CategoryMap,2,0)</f>
        <v/>
      </c>
      <c r="F1337">
        <f>VLOOKUP(D1337,CategoryMap,2,0)</f>
        <v/>
      </c>
      <c r="G1337">
        <f>ABS(E1337-F1337)</f>
        <v/>
      </c>
      <c r="H1337">
        <f>IF(G1337=0,"Yes","No")</f>
        <v/>
      </c>
      <c r="I1337" t="inlineStr">
        <is>
          <t>Partial</t>
        </is>
      </c>
      <c r="J1337">
        <f>IF(I1337="","",IF(AND(I1337=C1337,I1337=D1337),"Both",IF(I1337=C1337,"Opus",IF(I1337=D1337,"Sonnet","Neither"))))</f>
        <v/>
      </c>
    </row>
    <row r="1338">
      <c r="A1338" t="inlineStr">
        <is>
          <t>R369</t>
        </is>
      </c>
      <c r="B1338" t="inlineStr">
        <is>
          <t>Q1</t>
        </is>
      </c>
      <c r="C1338" t="inlineStr">
        <is>
          <t>Partial</t>
        </is>
      </c>
      <c r="D1338" t="inlineStr">
        <is>
          <t>Partial</t>
        </is>
      </c>
      <c r="E1338">
        <f>VLOOKUP(C1338,CategoryMap,2,0)</f>
        <v/>
      </c>
      <c r="F1338">
        <f>VLOOKUP(D1338,CategoryMap,2,0)</f>
        <v/>
      </c>
      <c r="G1338">
        <f>ABS(E1338-F1338)</f>
        <v/>
      </c>
      <c r="H1338">
        <f>IF(G1338=0,"Yes","No")</f>
        <v/>
      </c>
      <c r="I1338" t="inlineStr">
        <is>
          <t>Partial</t>
        </is>
      </c>
      <c r="J1338">
        <f>IF(I1338="","",IF(AND(I1338=C1338,I1338=D1338),"Both",IF(I1338=C1338,"Opus",IF(I1338=D1338,"Sonnet","Neither"))))</f>
        <v/>
      </c>
    </row>
    <row r="1339">
      <c r="A1339" t="inlineStr">
        <is>
          <t>R369</t>
        </is>
      </c>
      <c r="B1339" t="inlineStr">
        <is>
          <t>Q2</t>
        </is>
      </c>
      <c r="C1339" t="inlineStr">
        <is>
          <t>Partial</t>
        </is>
      </c>
      <c r="D1339" t="inlineStr">
        <is>
          <t>Partial</t>
        </is>
      </c>
      <c r="E1339">
        <f>VLOOKUP(C1339,CategoryMap,2,0)</f>
        <v/>
      </c>
      <c r="F1339">
        <f>VLOOKUP(D1339,CategoryMap,2,0)</f>
        <v/>
      </c>
      <c r="G1339">
        <f>ABS(E1339-F1339)</f>
        <v/>
      </c>
      <c r="H1339">
        <f>IF(G1339=0,"Yes","No")</f>
        <v/>
      </c>
      <c r="I1339" t="inlineStr">
        <is>
          <t>Partial</t>
        </is>
      </c>
      <c r="J1339">
        <f>IF(I1339="","",IF(AND(I1339=C1339,I1339=D1339),"Both",IF(I1339=C1339,"Opus",IF(I1339=D1339,"Sonnet","Neither"))))</f>
        <v/>
      </c>
    </row>
    <row r="1340">
      <c r="A1340" t="inlineStr">
        <is>
          <t>R369</t>
        </is>
      </c>
      <c r="B1340" t="inlineStr">
        <is>
          <t>Q3</t>
        </is>
      </c>
      <c r="C1340" t="inlineStr">
        <is>
          <t>Yes</t>
        </is>
      </c>
      <c r="D1340" t="inlineStr">
        <is>
          <t>Partial</t>
        </is>
      </c>
      <c r="E1340">
        <f>VLOOKUP(C1340,CategoryMap,2,0)</f>
        <v/>
      </c>
      <c r="F1340">
        <f>VLOOKUP(D1340,CategoryMap,2,0)</f>
        <v/>
      </c>
      <c r="G1340">
        <f>ABS(E1340-F1340)</f>
        <v/>
      </c>
      <c r="H1340">
        <f>IF(G1340=0,"Yes","No")</f>
        <v/>
      </c>
      <c r="I1340" t="inlineStr">
        <is>
          <t>Partial</t>
        </is>
      </c>
      <c r="J1340">
        <f>IF(I1340="","",IF(AND(I1340=C1340,I1340=D1340),"Both",IF(I1340=C1340,"Opus",IF(I1340=D1340,"Sonnet","Neither"))))</f>
        <v/>
      </c>
    </row>
    <row r="1341">
      <c r="A1341" t="inlineStr">
        <is>
          <t>R369</t>
        </is>
      </c>
      <c r="B1341" t="inlineStr">
        <is>
          <t>Q4</t>
        </is>
      </c>
      <c r="C1341" t="inlineStr">
        <is>
          <t>No</t>
        </is>
      </c>
      <c r="D1341" t="inlineStr">
        <is>
          <t>No</t>
        </is>
      </c>
      <c r="E1341">
        <f>VLOOKUP(C1341,CategoryMap,2,0)</f>
        <v/>
      </c>
      <c r="F1341">
        <f>VLOOKUP(D1341,CategoryMap,2,0)</f>
        <v/>
      </c>
      <c r="G1341">
        <f>ABS(E1341-F1341)</f>
        <v/>
      </c>
      <c r="H1341">
        <f>IF(G1341=0,"Yes","No")</f>
        <v/>
      </c>
      <c r="I1341" t="inlineStr">
        <is>
          <t>No</t>
        </is>
      </c>
      <c r="J1341">
        <f>IF(I1341="","",IF(AND(I1341=C1341,I1341=D1341),"Both",IF(I1341=C1341,"Opus",IF(I1341=D1341,"Sonnet","Neither"))))</f>
        <v/>
      </c>
    </row>
    <row r="1342">
      <c r="A1342" t="inlineStr">
        <is>
          <t>R369</t>
        </is>
      </c>
      <c r="B1342" t="inlineStr">
        <is>
          <t>Q5</t>
        </is>
      </c>
      <c r="C1342" t="inlineStr">
        <is>
          <t>No</t>
        </is>
      </c>
      <c r="D1342" t="inlineStr">
        <is>
          <t>No</t>
        </is>
      </c>
      <c r="E1342">
        <f>VLOOKUP(C1342,CategoryMap,2,0)</f>
        <v/>
      </c>
      <c r="F1342">
        <f>VLOOKUP(D1342,CategoryMap,2,0)</f>
        <v/>
      </c>
      <c r="G1342">
        <f>ABS(E1342-F1342)</f>
        <v/>
      </c>
      <c r="H1342">
        <f>IF(G1342=0,"Yes","No")</f>
        <v/>
      </c>
      <c r="I1342" t="inlineStr">
        <is>
          <t>No</t>
        </is>
      </c>
      <c r="J1342">
        <f>IF(I1342="","",IF(AND(I1342=C1342,I1342=D1342),"Both",IF(I1342=C1342,"Opus",IF(I1342=D1342,"Sonnet","Neither"))))</f>
        <v/>
      </c>
    </row>
    <row r="1343">
      <c r="A1343" t="inlineStr">
        <is>
          <t>R369</t>
        </is>
      </c>
      <c r="B1343" t="inlineStr">
        <is>
          <t>Q6</t>
        </is>
      </c>
      <c r="C1343" t="inlineStr">
        <is>
          <t>No</t>
        </is>
      </c>
      <c r="D1343" t="inlineStr">
        <is>
          <t>No</t>
        </is>
      </c>
      <c r="E1343">
        <f>VLOOKUP(C1343,CategoryMap,2,0)</f>
        <v/>
      </c>
      <c r="F1343">
        <f>VLOOKUP(D1343,CategoryMap,2,0)</f>
        <v/>
      </c>
      <c r="G1343">
        <f>ABS(E1343-F1343)</f>
        <v/>
      </c>
      <c r="H1343">
        <f>IF(G1343=0,"Yes","No")</f>
        <v/>
      </c>
      <c r="I1343" t="inlineStr">
        <is>
          <t>No</t>
        </is>
      </c>
      <c r="J1343">
        <f>IF(I1343="","",IF(AND(I1343=C1343,I1343=D1343),"Both",IF(I1343=C1343,"Opus",IF(I1343=D1343,"Sonnet","Neither"))))</f>
        <v/>
      </c>
    </row>
    <row r="1344">
      <c r="A1344" t="inlineStr">
        <is>
          <t>R369</t>
        </is>
      </c>
      <c r="B1344" t="inlineStr">
        <is>
          <t>Q7</t>
        </is>
      </c>
      <c r="C1344" t="inlineStr">
        <is>
          <t>No</t>
        </is>
      </c>
      <c r="D1344" t="inlineStr">
        <is>
          <t>No</t>
        </is>
      </c>
      <c r="E1344">
        <f>VLOOKUP(C1344,CategoryMap,2,0)</f>
        <v/>
      </c>
      <c r="F1344">
        <f>VLOOKUP(D1344,CategoryMap,2,0)</f>
        <v/>
      </c>
      <c r="G1344">
        <f>ABS(E1344-F1344)</f>
        <v/>
      </c>
      <c r="H1344">
        <f>IF(G1344=0,"Yes","No")</f>
        <v/>
      </c>
      <c r="I1344" t="inlineStr">
        <is>
          <t>No</t>
        </is>
      </c>
      <c r="J1344">
        <f>IF(I1344="","",IF(AND(I1344=C1344,I1344=D1344),"Both",IF(I1344=C1344,"Opus",IF(I1344=D1344,"Sonnet","Neither"))))</f>
        <v/>
      </c>
    </row>
    <row r="1345">
      <c r="A1345" t="inlineStr">
        <is>
          <t>R369</t>
        </is>
      </c>
      <c r="B1345" t="inlineStr">
        <is>
          <t>Q8</t>
        </is>
      </c>
      <c r="C1345" t="inlineStr">
        <is>
          <t>Partial</t>
        </is>
      </c>
      <c r="D1345" t="inlineStr">
        <is>
          <t>No</t>
        </is>
      </c>
      <c r="E1345">
        <f>VLOOKUP(C1345,CategoryMap,2,0)</f>
        <v/>
      </c>
      <c r="F1345">
        <f>VLOOKUP(D1345,CategoryMap,2,0)</f>
        <v/>
      </c>
      <c r="G1345">
        <f>ABS(E1345-F1345)</f>
        <v/>
      </c>
      <c r="H1345">
        <f>IF(G1345=0,"Yes","No")</f>
        <v/>
      </c>
      <c r="I1345" t="inlineStr">
        <is>
          <t>Partial</t>
        </is>
      </c>
      <c r="J1345">
        <f>IF(I1345="","",IF(AND(I1345=C1345,I1345=D1345),"Both",IF(I1345=C1345,"Opus",IF(I1345=D1345,"Sonnet","Neither"))))</f>
        <v/>
      </c>
    </row>
    <row r="1346">
      <c r="A1346" t="inlineStr">
        <is>
          <t>R370</t>
        </is>
      </c>
      <c r="B1346" t="inlineStr">
        <is>
          <t>Q1</t>
        </is>
      </c>
      <c r="C1346" t="inlineStr">
        <is>
          <t>Yes</t>
        </is>
      </c>
      <c r="D1346" t="inlineStr">
        <is>
          <t>Yes</t>
        </is>
      </c>
      <c r="E1346">
        <f>VLOOKUP(C1346,CategoryMap,2,0)</f>
        <v/>
      </c>
      <c r="F1346">
        <f>VLOOKUP(D1346,CategoryMap,2,0)</f>
        <v/>
      </c>
      <c r="G1346">
        <f>ABS(E1346-F1346)</f>
        <v/>
      </c>
      <c r="H1346">
        <f>IF(G1346=0,"Yes","No")</f>
        <v/>
      </c>
      <c r="I1346" t="inlineStr">
        <is>
          <t>Yes</t>
        </is>
      </c>
      <c r="J1346">
        <f>IF(I1346="","",IF(AND(I1346=C1346,I1346=D1346),"Both",IF(I1346=C1346,"Opus",IF(I1346=D1346,"Sonnet","Neither"))))</f>
        <v/>
      </c>
    </row>
    <row r="1347">
      <c r="A1347" t="inlineStr">
        <is>
          <t>R370</t>
        </is>
      </c>
      <c r="B1347" t="inlineStr">
        <is>
          <t>Q2</t>
        </is>
      </c>
      <c r="C1347" t="inlineStr">
        <is>
          <t>Partial</t>
        </is>
      </c>
      <c r="D1347" t="inlineStr">
        <is>
          <t>Partial</t>
        </is>
      </c>
      <c r="E1347">
        <f>VLOOKUP(C1347,CategoryMap,2,0)</f>
        <v/>
      </c>
      <c r="F1347">
        <f>VLOOKUP(D1347,CategoryMap,2,0)</f>
        <v/>
      </c>
      <c r="G1347">
        <f>ABS(E1347-F1347)</f>
        <v/>
      </c>
      <c r="H1347">
        <f>IF(G1347=0,"Yes","No")</f>
        <v/>
      </c>
      <c r="I1347" t="inlineStr">
        <is>
          <t>Partial</t>
        </is>
      </c>
      <c r="J1347">
        <f>IF(I1347="","",IF(AND(I1347=C1347,I1347=D1347),"Both",IF(I1347=C1347,"Opus",IF(I1347=D1347,"Sonnet","Neither"))))</f>
        <v/>
      </c>
    </row>
    <row r="1348">
      <c r="A1348" t="inlineStr">
        <is>
          <t>R370</t>
        </is>
      </c>
      <c r="B1348" t="inlineStr">
        <is>
          <t>Q3</t>
        </is>
      </c>
      <c r="C1348" t="inlineStr">
        <is>
          <t>Yes</t>
        </is>
      </c>
      <c r="D1348" t="inlineStr">
        <is>
          <t>Yes</t>
        </is>
      </c>
      <c r="E1348">
        <f>VLOOKUP(C1348,CategoryMap,2,0)</f>
        <v/>
      </c>
      <c r="F1348">
        <f>VLOOKUP(D1348,CategoryMap,2,0)</f>
        <v/>
      </c>
      <c r="G1348">
        <f>ABS(E1348-F1348)</f>
        <v/>
      </c>
      <c r="H1348">
        <f>IF(G1348=0,"Yes","No")</f>
        <v/>
      </c>
      <c r="I1348" t="inlineStr">
        <is>
          <t>Yes</t>
        </is>
      </c>
      <c r="J1348">
        <f>IF(I1348="","",IF(AND(I1348=C1348,I1348=D1348),"Both",IF(I1348=C1348,"Opus",IF(I1348=D1348,"Sonnet","Neither"))))</f>
        <v/>
      </c>
    </row>
    <row r="1349">
      <c r="A1349" t="inlineStr">
        <is>
          <t>R370</t>
        </is>
      </c>
      <c r="B1349" t="inlineStr">
        <is>
          <t>Q4</t>
        </is>
      </c>
      <c r="C1349" t="inlineStr">
        <is>
          <t>Partial</t>
        </is>
      </c>
      <c r="D1349" t="inlineStr">
        <is>
          <t>Partial</t>
        </is>
      </c>
      <c r="E1349">
        <f>VLOOKUP(C1349,CategoryMap,2,0)</f>
        <v/>
      </c>
      <c r="F1349">
        <f>VLOOKUP(D1349,CategoryMap,2,0)</f>
        <v/>
      </c>
      <c r="G1349">
        <f>ABS(E1349-F1349)</f>
        <v/>
      </c>
      <c r="H1349">
        <f>IF(G1349=0,"Yes","No")</f>
        <v/>
      </c>
      <c r="I1349" t="inlineStr">
        <is>
          <t>Partial</t>
        </is>
      </c>
      <c r="J1349">
        <f>IF(I1349="","",IF(AND(I1349=C1349,I1349=D1349),"Both",IF(I1349=C1349,"Opus",IF(I1349=D1349,"Sonnet","Neither"))))</f>
        <v/>
      </c>
    </row>
    <row r="1350">
      <c r="A1350" t="inlineStr">
        <is>
          <t>R370</t>
        </is>
      </c>
      <c r="B1350" t="inlineStr">
        <is>
          <t>Q5</t>
        </is>
      </c>
      <c r="C1350" t="inlineStr">
        <is>
          <t>Yes</t>
        </is>
      </c>
      <c r="D1350" t="inlineStr">
        <is>
          <t>Yes</t>
        </is>
      </c>
      <c r="E1350">
        <f>VLOOKUP(C1350,CategoryMap,2,0)</f>
        <v/>
      </c>
      <c r="F1350">
        <f>VLOOKUP(D1350,CategoryMap,2,0)</f>
        <v/>
      </c>
      <c r="G1350">
        <f>ABS(E1350-F1350)</f>
        <v/>
      </c>
      <c r="H1350">
        <f>IF(G1350=0,"Yes","No")</f>
        <v/>
      </c>
      <c r="I1350" t="inlineStr">
        <is>
          <t>Yes</t>
        </is>
      </c>
      <c r="J1350">
        <f>IF(I1350="","",IF(AND(I1350=C1350,I1350=D1350),"Both",IF(I1350=C1350,"Opus",IF(I1350=D1350,"Sonnet","Neither"))))</f>
        <v/>
      </c>
    </row>
    <row r="1351">
      <c r="A1351" t="inlineStr">
        <is>
          <t>R370</t>
        </is>
      </c>
      <c r="B1351" t="inlineStr">
        <is>
          <t>Q6</t>
        </is>
      </c>
      <c r="C1351" t="inlineStr">
        <is>
          <t>Yes</t>
        </is>
      </c>
      <c r="D1351" t="inlineStr">
        <is>
          <t>Yes</t>
        </is>
      </c>
      <c r="E1351">
        <f>VLOOKUP(C1351,CategoryMap,2,0)</f>
        <v/>
      </c>
      <c r="F1351">
        <f>VLOOKUP(D1351,CategoryMap,2,0)</f>
        <v/>
      </c>
      <c r="G1351">
        <f>ABS(E1351-F1351)</f>
        <v/>
      </c>
      <c r="H1351">
        <f>IF(G1351=0,"Yes","No")</f>
        <v/>
      </c>
      <c r="I1351" t="inlineStr">
        <is>
          <t>Yes</t>
        </is>
      </c>
      <c r="J1351">
        <f>IF(I1351="","",IF(AND(I1351=C1351,I1351=D1351),"Both",IF(I1351=C1351,"Opus",IF(I1351=D1351,"Sonnet","Neither"))))</f>
        <v/>
      </c>
    </row>
    <row r="1352">
      <c r="A1352" t="inlineStr">
        <is>
          <t>R370</t>
        </is>
      </c>
      <c r="B1352" t="inlineStr">
        <is>
          <t>Q7</t>
        </is>
      </c>
      <c r="C1352" t="inlineStr">
        <is>
          <t>Yes</t>
        </is>
      </c>
      <c r="D1352" t="inlineStr">
        <is>
          <t>Yes</t>
        </is>
      </c>
      <c r="E1352">
        <f>VLOOKUP(C1352,CategoryMap,2,0)</f>
        <v/>
      </c>
      <c r="F1352">
        <f>VLOOKUP(D1352,CategoryMap,2,0)</f>
        <v/>
      </c>
      <c r="G1352">
        <f>ABS(E1352-F1352)</f>
        <v/>
      </c>
      <c r="H1352">
        <f>IF(G1352=0,"Yes","No")</f>
        <v/>
      </c>
      <c r="I1352" t="inlineStr">
        <is>
          <t>Yes</t>
        </is>
      </c>
      <c r="J1352">
        <f>IF(I1352="","",IF(AND(I1352=C1352,I1352=D1352),"Both",IF(I1352=C1352,"Opus",IF(I1352=D1352,"Sonnet","Neither"))))</f>
        <v/>
      </c>
    </row>
    <row r="1353">
      <c r="A1353" t="inlineStr">
        <is>
          <t>R370</t>
        </is>
      </c>
      <c r="B1353" t="inlineStr">
        <is>
          <t>Q8</t>
        </is>
      </c>
      <c r="C1353" t="inlineStr">
        <is>
          <t>Partial</t>
        </is>
      </c>
      <c r="D1353" t="inlineStr">
        <is>
          <t>Partial</t>
        </is>
      </c>
      <c r="E1353">
        <f>VLOOKUP(C1353,CategoryMap,2,0)</f>
        <v/>
      </c>
      <c r="F1353">
        <f>VLOOKUP(D1353,CategoryMap,2,0)</f>
        <v/>
      </c>
      <c r="G1353">
        <f>ABS(E1353-F1353)</f>
        <v/>
      </c>
      <c r="H1353">
        <f>IF(G1353=0,"Yes","No")</f>
        <v/>
      </c>
      <c r="I1353" t="inlineStr">
        <is>
          <t>Partial</t>
        </is>
      </c>
      <c r="J1353">
        <f>IF(I1353="","",IF(AND(I1353=C1353,I1353=D1353),"Both",IF(I1353=C1353,"Opus",IF(I1353=D1353,"Sonnet","Neither"))))</f>
        <v/>
      </c>
    </row>
    <row r="1354">
      <c r="A1354" t="inlineStr">
        <is>
          <t>R372</t>
        </is>
      </c>
      <c r="B1354" t="inlineStr">
        <is>
          <t>Q1</t>
        </is>
      </c>
      <c r="C1354" t="inlineStr">
        <is>
          <t>Partial</t>
        </is>
      </c>
      <c r="D1354" t="inlineStr">
        <is>
          <t>No</t>
        </is>
      </c>
      <c r="E1354">
        <f>VLOOKUP(C1354,CategoryMap,2,0)</f>
        <v/>
      </c>
      <c r="F1354">
        <f>VLOOKUP(D1354,CategoryMap,2,0)</f>
        <v/>
      </c>
      <c r="G1354">
        <f>ABS(E1354-F1354)</f>
        <v/>
      </c>
      <c r="H1354">
        <f>IF(G1354=0,"Yes","No")</f>
        <v/>
      </c>
      <c r="I1354" t="inlineStr">
        <is>
          <t>No</t>
        </is>
      </c>
      <c r="J1354">
        <f>IF(I1354="","",IF(AND(I1354=C1354,I1354=D1354),"Both",IF(I1354=C1354,"Opus",IF(I1354=D1354,"Sonnet","Neither"))))</f>
        <v/>
      </c>
    </row>
    <row r="1355">
      <c r="A1355" t="inlineStr">
        <is>
          <t>R372</t>
        </is>
      </c>
      <c r="B1355" t="inlineStr">
        <is>
          <t>Q2</t>
        </is>
      </c>
      <c r="C1355" t="inlineStr">
        <is>
          <t>Partial</t>
        </is>
      </c>
      <c r="D1355" t="inlineStr">
        <is>
          <t>Partial</t>
        </is>
      </c>
      <c r="E1355">
        <f>VLOOKUP(C1355,CategoryMap,2,0)</f>
        <v/>
      </c>
      <c r="F1355">
        <f>VLOOKUP(D1355,CategoryMap,2,0)</f>
        <v/>
      </c>
      <c r="G1355">
        <f>ABS(E1355-F1355)</f>
        <v/>
      </c>
      <c r="H1355">
        <f>IF(G1355=0,"Yes","No")</f>
        <v/>
      </c>
      <c r="I1355" t="inlineStr">
        <is>
          <t>Partial</t>
        </is>
      </c>
      <c r="J1355">
        <f>IF(I1355="","",IF(AND(I1355=C1355,I1355=D1355),"Both",IF(I1355=C1355,"Opus",IF(I1355=D1355,"Sonnet","Neither"))))</f>
        <v/>
      </c>
    </row>
    <row r="1356">
      <c r="A1356" t="inlineStr">
        <is>
          <t>R372</t>
        </is>
      </c>
      <c r="B1356" t="inlineStr">
        <is>
          <t>Q3</t>
        </is>
      </c>
      <c r="C1356" t="inlineStr">
        <is>
          <t>Yes</t>
        </is>
      </c>
      <c r="D1356" t="inlineStr">
        <is>
          <t>Partial</t>
        </is>
      </c>
      <c r="E1356">
        <f>VLOOKUP(C1356,CategoryMap,2,0)</f>
        <v/>
      </c>
      <c r="F1356">
        <f>VLOOKUP(D1356,CategoryMap,2,0)</f>
        <v/>
      </c>
      <c r="G1356">
        <f>ABS(E1356-F1356)</f>
        <v/>
      </c>
      <c r="H1356">
        <f>IF(G1356=0,"Yes","No")</f>
        <v/>
      </c>
      <c r="I1356" t="inlineStr">
        <is>
          <t>Partial</t>
        </is>
      </c>
      <c r="J1356">
        <f>IF(I1356="","",IF(AND(I1356=C1356,I1356=D1356),"Both",IF(I1356=C1356,"Opus",IF(I1356=D1356,"Sonnet","Neither"))))</f>
        <v/>
      </c>
    </row>
    <row r="1357">
      <c r="A1357" t="inlineStr">
        <is>
          <t>R372</t>
        </is>
      </c>
      <c r="B1357" t="inlineStr">
        <is>
          <t>Q4</t>
        </is>
      </c>
      <c r="C1357" t="inlineStr">
        <is>
          <t>Yes</t>
        </is>
      </c>
      <c r="D1357" t="inlineStr">
        <is>
          <t>Yes</t>
        </is>
      </c>
      <c r="E1357">
        <f>VLOOKUP(C1357,CategoryMap,2,0)</f>
        <v/>
      </c>
      <c r="F1357">
        <f>VLOOKUP(D1357,CategoryMap,2,0)</f>
        <v/>
      </c>
      <c r="G1357">
        <f>ABS(E1357-F1357)</f>
        <v/>
      </c>
      <c r="H1357">
        <f>IF(G1357=0,"Yes","No")</f>
        <v/>
      </c>
      <c r="I1357" t="inlineStr">
        <is>
          <t>Yes</t>
        </is>
      </c>
      <c r="J1357">
        <f>IF(I1357="","",IF(AND(I1357=C1357,I1357=D1357),"Both",IF(I1357=C1357,"Opus",IF(I1357=D1357,"Sonnet","Neither"))))</f>
        <v/>
      </c>
    </row>
    <row r="1358">
      <c r="A1358" t="inlineStr">
        <is>
          <t>R372</t>
        </is>
      </c>
      <c r="B1358" t="inlineStr">
        <is>
          <t>Q5</t>
        </is>
      </c>
      <c r="C1358" t="inlineStr">
        <is>
          <t>Yes</t>
        </is>
      </c>
      <c r="D1358" t="inlineStr">
        <is>
          <t>Yes</t>
        </is>
      </c>
      <c r="E1358">
        <f>VLOOKUP(C1358,CategoryMap,2,0)</f>
        <v/>
      </c>
      <c r="F1358">
        <f>VLOOKUP(D1358,CategoryMap,2,0)</f>
        <v/>
      </c>
      <c r="G1358">
        <f>ABS(E1358-F1358)</f>
        <v/>
      </c>
      <c r="H1358">
        <f>IF(G1358=0,"Yes","No")</f>
        <v/>
      </c>
      <c r="I1358" t="inlineStr">
        <is>
          <t>Yes</t>
        </is>
      </c>
      <c r="J1358">
        <f>IF(I1358="","",IF(AND(I1358=C1358,I1358=D1358),"Both",IF(I1358=C1358,"Opus",IF(I1358=D1358,"Sonnet","Neither"))))</f>
        <v/>
      </c>
    </row>
    <row r="1359">
      <c r="A1359" t="inlineStr">
        <is>
          <t>R372</t>
        </is>
      </c>
      <c r="B1359" t="inlineStr">
        <is>
          <t>Q6</t>
        </is>
      </c>
      <c r="C1359" t="inlineStr">
        <is>
          <t>Yes</t>
        </is>
      </c>
      <c r="D1359" t="inlineStr">
        <is>
          <t>Yes</t>
        </is>
      </c>
      <c r="E1359">
        <f>VLOOKUP(C1359,CategoryMap,2,0)</f>
        <v/>
      </c>
      <c r="F1359">
        <f>VLOOKUP(D1359,CategoryMap,2,0)</f>
        <v/>
      </c>
      <c r="G1359">
        <f>ABS(E1359-F1359)</f>
        <v/>
      </c>
      <c r="H1359">
        <f>IF(G1359=0,"Yes","No")</f>
        <v/>
      </c>
      <c r="I1359" t="inlineStr">
        <is>
          <t>Yes</t>
        </is>
      </c>
      <c r="J1359">
        <f>IF(I1359="","",IF(AND(I1359=C1359,I1359=D1359),"Both",IF(I1359=C1359,"Opus",IF(I1359=D1359,"Sonnet","Neither"))))</f>
        <v/>
      </c>
    </row>
    <row r="1360">
      <c r="A1360" t="inlineStr">
        <is>
          <t>R372</t>
        </is>
      </c>
      <c r="B1360" t="inlineStr">
        <is>
          <t>Q7</t>
        </is>
      </c>
      <c r="C1360" t="inlineStr">
        <is>
          <t>Yes</t>
        </is>
      </c>
      <c r="D1360" t="inlineStr">
        <is>
          <t>Yes</t>
        </is>
      </c>
      <c r="E1360">
        <f>VLOOKUP(C1360,CategoryMap,2,0)</f>
        <v/>
      </c>
      <c r="F1360">
        <f>VLOOKUP(D1360,CategoryMap,2,0)</f>
        <v/>
      </c>
      <c r="G1360">
        <f>ABS(E1360-F1360)</f>
        <v/>
      </c>
      <c r="H1360">
        <f>IF(G1360=0,"Yes","No")</f>
        <v/>
      </c>
      <c r="I1360" t="inlineStr">
        <is>
          <t>Yes</t>
        </is>
      </c>
      <c r="J1360">
        <f>IF(I1360="","",IF(AND(I1360=C1360,I1360=D1360),"Both",IF(I1360=C1360,"Opus",IF(I1360=D1360,"Sonnet","Neither"))))</f>
        <v/>
      </c>
    </row>
    <row r="1361">
      <c r="A1361" t="inlineStr">
        <is>
          <t>R372</t>
        </is>
      </c>
      <c r="B1361" t="inlineStr">
        <is>
          <t>Q8</t>
        </is>
      </c>
      <c r="C1361" t="inlineStr">
        <is>
          <t>Partial</t>
        </is>
      </c>
      <c r="D1361" t="inlineStr">
        <is>
          <t>Partial</t>
        </is>
      </c>
      <c r="E1361">
        <f>VLOOKUP(C1361,CategoryMap,2,0)</f>
        <v/>
      </c>
      <c r="F1361">
        <f>VLOOKUP(D1361,CategoryMap,2,0)</f>
        <v/>
      </c>
      <c r="G1361">
        <f>ABS(E1361-F1361)</f>
        <v/>
      </c>
      <c r="H1361">
        <f>IF(G1361=0,"Yes","No")</f>
        <v/>
      </c>
      <c r="I1361" t="inlineStr">
        <is>
          <t>Partial</t>
        </is>
      </c>
      <c r="J1361">
        <f>IF(I1361="","",IF(AND(I1361=C1361,I1361=D1361),"Both",IF(I1361=C1361,"Opus",IF(I1361=D1361,"Sonnet","Neither"))))</f>
        <v/>
      </c>
    </row>
    <row r="1362">
      <c r="A1362" t="inlineStr">
        <is>
          <t>R373</t>
        </is>
      </c>
      <c r="B1362" t="inlineStr">
        <is>
          <t>Q1</t>
        </is>
      </c>
      <c r="C1362" t="inlineStr">
        <is>
          <t>Yes</t>
        </is>
      </c>
      <c r="D1362" t="inlineStr">
        <is>
          <t>Yes</t>
        </is>
      </c>
      <c r="E1362">
        <f>VLOOKUP(C1362,CategoryMap,2,0)</f>
        <v/>
      </c>
      <c r="F1362">
        <f>VLOOKUP(D1362,CategoryMap,2,0)</f>
        <v/>
      </c>
      <c r="G1362">
        <f>ABS(E1362-F1362)</f>
        <v/>
      </c>
      <c r="H1362">
        <f>IF(G1362=0,"Yes","No")</f>
        <v/>
      </c>
      <c r="I1362" t="inlineStr">
        <is>
          <t>Yes</t>
        </is>
      </c>
      <c r="J1362">
        <f>IF(I1362="","",IF(AND(I1362=C1362,I1362=D1362),"Both",IF(I1362=C1362,"Opus",IF(I1362=D1362,"Sonnet","Neither"))))</f>
        <v/>
      </c>
    </row>
    <row r="1363">
      <c r="A1363" t="inlineStr">
        <is>
          <t>R373</t>
        </is>
      </c>
      <c r="B1363" t="inlineStr">
        <is>
          <t>Q2</t>
        </is>
      </c>
      <c r="C1363" t="inlineStr">
        <is>
          <t>Yes</t>
        </is>
      </c>
      <c r="D1363" t="inlineStr">
        <is>
          <t>Yes</t>
        </is>
      </c>
      <c r="E1363">
        <f>VLOOKUP(C1363,CategoryMap,2,0)</f>
        <v/>
      </c>
      <c r="F1363">
        <f>VLOOKUP(D1363,CategoryMap,2,0)</f>
        <v/>
      </c>
      <c r="G1363">
        <f>ABS(E1363-F1363)</f>
        <v/>
      </c>
      <c r="H1363">
        <f>IF(G1363=0,"Yes","No")</f>
        <v/>
      </c>
      <c r="I1363" t="inlineStr">
        <is>
          <t>Yes</t>
        </is>
      </c>
      <c r="J1363">
        <f>IF(I1363="","",IF(AND(I1363=C1363,I1363=D1363),"Both",IF(I1363=C1363,"Opus",IF(I1363=D1363,"Sonnet","Neither"))))</f>
        <v/>
      </c>
    </row>
    <row r="1364">
      <c r="A1364" t="inlineStr">
        <is>
          <t>R373</t>
        </is>
      </c>
      <c r="B1364" t="inlineStr">
        <is>
          <t>Q3</t>
        </is>
      </c>
      <c r="C1364" t="inlineStr">
        <is>
          <t>Yes</t>
        </is>
      </c>
      <c r="D1364" t="inlineStr">
        <is>
          <t>Yes</t>
        </is>
      </c>
      <c r="E1364">
        <f>VLOOKUP(C1364,CategoryMap,2,0)</f>
        <v/>
      </c>
      <c r="F1364">
        <f>VLOOKUP(D1364,CategoryMap,2,0)</f>
        <v/>
      </c>
      <c r="G1364">
        <f>ABS(E1364-F1364)</f>
        <v/>
      </c>
      <c r="H1364">
        <f>IF(G1364=0,"Yes","No")</f>
        <v/>
      </c>
      <c r="I1364" t="inlineStr">
        <is>
          <t>Yes</t>
        </is>
      </c>
      <c r="J1364">
        <f>IF(I1364="","",IF(AND(I1364=C1364,I1364=D1364),"Both",IF(I1364=C1364,"Opus",IF(I1364=D1364,"Sonnet","Neither"))))</f>
        <v/>
      </c>
    </row>
    <row r="1365">
      <c r="A1365" t="inlineStr">
        <is>
          <t>R373</t>
        </is>
      </c>
      <c r="B1365" t="inlineStr">
        <is>
          <t>Q4</t>
        </is>
      </c>
      <c r="C1365" t="inlineStr">
        <is>
          <t>Partial</t>
        </is>
      </c>
      <c r="D1365" t="inlineStr">
        <is>
          <t>Partial</t>
        </is>
      </c>
      <c r="E1365">
        <f>VLOOKUP(C1365,CategoryMap,2,0)</f>
        <v/>
      </c>
      <c r="F1365">
        <f>VLOOKUP(D1365,CategoryMap,2,0)</f>
        <v/>
      </c>
      <c r="G1365">
        <f>ABS(E1365-F1365)</f>
        <v/>
      </c>
      <c r="H1365">
        <f>IF(G1365=0,"Yes","No")</f>
        <v/>
      </c>
      <c r="I1365" t="inlineStr">
        <is>
          <t>Partial</t>
        </is>
      </c>
      <c r="J1365">
        <f>IF(I1365="","",IF(AND(I1365=C1365,I1365=D1365),"Both",IF(I1365=C1365,"Opus",IF(I1365=D1365,"Sonnet","Neither"))))</f>
        <v/>
      </c>
    </row>
    <row r="1366">
      <c r="A1366" t="inlineStr">
        <is>
          <t>R373</t>
        </is>
      </c>
      <c r="B1366" t="inlineStr">
        <is>
          <t>Q5</t>
        </is>
      </c>
      <c r="C1366" t="inlineStr">
        <is>
          <t>Yes</t>
        </is>
      </c>
      <c r="D1366" t="inlineStr">
        <is>
          <t>Yes</t>
        </is>
      </c>
      <c r="E1366">
        <f>VLOOKUP(C1366,CategoryMap,2,0)</f>
        <v/>
      </c>
      <c r="F1366">
        <f>VLOOKUP(D1366,CategoryMap,2,0)</f>
        <v/>
      </c>
      <c r="G1366">
        <f>ABS(E1366-F1366)</f>
        <v/>
      </c>
      <c r="H1366">
        <f>IF(G1366=0,"Yes","No")</f>
        <v/>
      </c>
      <c r="I1366" t="inlineStr">
        <is>
          <t>Yes</t>
        </is>
      </c>
      <c r="J1366">
        <f>IF(I1366="","",IF(AND(I1366=C1366,I1366=D1366),"Both",IF(I1366=C1366,"Opus",IF(I1366=D1366,"Sonnet","Neither"))))</f>
        <v/>
      </c>
    </row>
    <row r="1367">
      <c r="A1367" t="inlineStr">
        <is>
          <t>R373</t>
        </is>
      </c>
      <c r="B1367" t="inlineStr">
        <is>
          <t>Q6</t>
        </is>
      </c>
      <c r="C1367" t="inlineStr">
        <is>
          <t>Yes</t>
        </is>
      </c>
      <c r="D1367" t="inlineStr">
        <is>
          <t>Yes</t>
        </is>
      </c>
      <c r="E1367">
        <f>VLOOKUP(C1367,CategoryMap,2,0)</f>
        <v/>
      </c>
      <c r="F1367">
        <f>VLOOKUP(D1367,CategoryMap,2,0)</f>
        <v/>
      </c>
      <c r="G1367">
        <f>ABS(E1367-F1367)</f>
        <v/>
      </c>
      <c r="H1367">
        <f>IF(G1367=0,"Yes","No")</f>
        <v/>
      </c>
      <c r="I1367" t="inlineStr">
        <is>
          <t>Yes</t>
        </is>
      </c>
      <c r="J1367">
        <f>IF(I1367="","",IF(AND(I1367=C1367,I1367=D1367),"Both",IF(I1367=C1367,"Opus",IF(I1367=D1367,"Sonnet","Neither"))))</f>
        <v/>
      </c>
    </row>
    <row r="1368">
      <c r="A1368" t="inlineStr">
        <is>
          <t>R373</t>
        </is>
      </c>
      <c r="B1368" t="inlineStr">
        <is>
          <t>Q7</t>
        </is>
      </c>
      <c r="C1368" t="inlineStr">
        <is>
          <t>Yes</t>
        </is>
      </c>
      <c r="D1368" t="inlineStr">
        <is>
          <t>Yes</t>
        </is>
      </c>
      <c r="E1368">
        <f>VLOOKUP(C1368,CategoryMap,2,0)</f>
        <v/>
      </c>
      <c r="F1368">
        <f>VLOOKUP(D1368,CategoryMap,2,0)</f>
        <v/>
      </c>
      <c r="G1368">
        <f>ABS(E1368-F1368)</f>
        <v/>
      </c>
      <c r="H1368">
        <f>IF(G1368=0,"Yes","No")</f>
        <v/>
      </c>
      <c r="I1368" t="inlineStr">
        <is>
          <t>Yes</t>
        </is>
      </c>
      <c r="J1368">
        <f>IF(I1368="","",IF(AND(I1368=C1368,I1368=D1368),"Both",IF(I1368=C1368,"Opus",IF(I1368=D1368,"Sonnet","Neither"))))</f>
        <v/>
      </c>
    </row>
    <row r="1369">
      <c r="A1369" t="inlineStr">
        <is>
          <t>R373</t>
        </is>
      </c>
      <c r="B1369" t="inlineStr">
        <is>
          <t>Q8</t>
        </is>
      </c>
      <c r="C1369" t="inlineStr">
        <is>
          <t>Partial</t>
        </is>
      </c>
      <c r="D1369" t="inlineStr">
        <is>
          <t>Partial</t>
        </is>
      </c>
      <c r="E1369">
        <f>VLOOKUP(C1369,CategoryMap,2,0)</f>
        <v/>
      </c>
      <c r="F1369">
        <f>VLOOKUP(D1369,CategoryMap,2,0)</f>
        <v/>
      </c>
      <c r="G1369">
        <f>ABS(E1369-F1369)</f>
        <v/>
      </c>
      <c r="H1369">
        <f>IF(G1369=0,"Yes","No")</f>
        <v/>
      </c>
      <c r="I1369" t="inlineStr">
        <is>
          <t>Partial</t>
        </is>
      </c>
      <c r="J1369">
        <f>IF(I1369="","",IF(AND(I1369=C1369,I1369=D1369),"Both",IF(I1369=C1369,"Opus",IF(I1369=D1369,"Sonnet","Neither"))))</f>
        <v/>
      </c>
    </row>
    <row r="1370">
      <c r="A1370" t="inlineStr">
        <is>
          <t>R375</t>
        </is>
      </c>
      <c r="B1370" t="inlineStr">
        <is>
          <t>Q1</t>
        </is>
      </c>
      <c r="C1370" t="inlineStr">
        <is>
          <t>No</t>
        </is>
      </c>
      <c r="D1370" t="inlineStr">
        <is>
          <t>No</t>
        </is>
      </c>
      <c r="E1370">
        <f>VLOOKUP(C1370,CategoryMap,2,0)</f>
        <v/>
      </c>
      <c r="F1370">
        <f>VLOOKUP(D1370,CategoryMap,2,0)</f>
        <v/>
      </c>
      <c r="G1370">
        <f>ABS(E1370-F1370)</f>
        <v/>
      </c>
      <c r="H1370">
        <f>IF(G1370=0,"Yes","No")</f>
        <v/>
      </c>
      <c r="I1370" t="inlineStr">
        <is>
          <t>No</t>
        </is>
      </c>
      <c r="J1370">
        <f>IF(I1370="","",IF(AND(I1370=C1370,I1370=D1370),"Both",IF(I1370=C1370,"Opus",IF(I1370=D1370,"Sonnet","Neither"))))</f>
        <v/>
      </c>
    </row>
    <row r="1371">
      <c r="A1371" t="inlineStr">
        <is>
          <t>R375</t>
        </is>
      </c>
      <c r="B1371" t="inlineStr">
        <is>
          <t>Q2</t>
        </is>
      </c>
      <c r="C1371" t="inlineStr">
        <is>
          <t>Partial</t>
        </is>
      </c>
      <c r="D1371" t="inlineStr">
        <is>
          <t>Partial</t>
        </is>
      </c>
      <c r="E1371">
        <f>VLOOKUP(C1371,CategoryMap,2,0)</f>
        <v/>
      </c>
      <c r="F1371">
        <f>VLOOKUP(D1371,CategoryMap,2,0)</f>
        <v/>
      </c>
      <c r="G1371">
        <f>ABS(E1371-F1371)</f>
        <v/>
      </c>
      <c r="H1371">
        <f>IF(G1371=0,"Yes","No")</f>
        <v/>
      </c>
      <c r="I1371" t="inlineStr">
        <is>
          <t>Partial</t>
        </is>
      </c>
      <c r="J1371">
        <f>IF(I1371="","",IF(AND(I1371=C1371,I1371=D1371),"Both",IF(I1371=C1371,"Opus",IF(I1371=D1371,"Sonnet","Neither"))))</f>
        <v/>
      </c>
    </row>
    <row r="1372">
      <c r="A1372" t="inlineStr">
        <is>
          <t>R375</t>
        </is>
      </c>
      <c r="B1372" t="inlineStr">
        <is>
          <t>Q3</t>
        </is>
      </c>
      <c r="C1372" t="inlineStr">
        <is>
          <t>Partial</t>
        </is>
      </c>
      <c r="D1372" t="inlineStr">
        <is>
          <t>Partial</t>
        </is>
      </c>
      <c r="E1372">
        <f>VLOOKUP(C1372,CategoryMap,2,0)</f>
        <v/>
      </c>
      <c r="F1372">
        <f>VLOOKUP(D1372,CategoryMap,2,0)</f>
        <v/>
      </c>
      <c r="G1372">
        <f>ABS(E1372-F1372)</f>
        <v/>
      </c>
      <c r="H1372">
        <f>IF(G1372=0,"Yes","No")</f>
        <v/>
      </c>
      <c r="I1372" t="inlineStr">
        <is>
          <t>Partial</t>
        </is>
      </c>
      <c r="J1372">
        <f>IF(I1372="","",IF(AND(I1372=C1372,I1372=D1372),"Both",IF(I1372=C1372,"Opus",IF(I1372=D1372,"Sonnet","Neither"))))</f>
        <v/>
      </c>
    </row>
    <row r="1373">
      <c r="A1373" t="inlineStr">
        <is>
          <t>R375</t>
        </is>
      </c>
      <c r="B1373" t="inlineStr">
        <is>
          <t>Q4</t>
        </is>
      </c>
      <c r="C1373" t="inlineStr">
        <is>
          <t>Partial</t>
        </is>
      </c>
      <c r="D1373" t="inlineStr">
        <is>
          <t>Partial</t>
        </is>
      </c>
      <c r="E1373">
        <f>VLOOKUP(C1373,CategoryMap,2,0)</f>
        <v/>
      </c>
      <c r="F1373">
        <f>VLOOKUP(D1373,CategoryMap,2,0)</f>
        <v/>
      </c>
      <c r="G1373">
        <f>ABS(E1373-F1373)</f>
        <v/>
      </c>
      <c r="H1373">
        <f>IF(G1373=0,"Yes","No")</f>
        <v/>
      </c>
      <c r="I1373" t="inlineStr">
        <is>
          <t>Partial</t>
        </is>
      </c>
      <c r="J1373">
        <f>IF(I1373="","",IF(AND(I1373=C1373,I1373=D1373),"Both",IF(I1373=C1373,"Opus",IF(I1373=D1373,"Sonnet","Neither"))))</f>
        <v/>
      </c>
    </row>
    <row r="1374">
      <c r="A1374" t="inlineStr">
        <is>
          <t>R375</t>
        </is>
      </c>
      <c r="B1374" t="inlineStr">
        <is>
          <t>Q5</t>
        </is>
      </c>
      <c r="C1374" t="inlineStr">
        <is>
          <t>Partial</t>
        </is>
      </c>
      <c r="D1374" t="inlineStr">
        <is>
          <t>Partial</t>
        </is>
      </c>
      <c r="E1374">
        <f>VLOOKUP(C1374,CategoryMap,2,0)</f>
        <v/>
      </c>
      <c r="F1374">
        <f>VLOOKUP(D1374,CategoryMap,2,0)</f>
        <v/>
      </c>
      <c r="G1374">
        <f>ABS(E1374-F1374)</f>
        <v/>
      </c>
      <c r="H1374">
        <f>IF(G1374=0,"Yes","No")</f>
        <v/>
      </c>
      <c r="I1374" t="inlineStr">
        <is>
          <t>Partial</t>
        </is>
      </c>
      <c r="J1374">
        <f>IF(I1374="","",IF(AND(I1374=C1374,I1374=D1374),"Both",IF(I1374=C1374,"Opus",IF(I1374=D1374,"Sonnet","Neither"))))</f>
        <v/>
      </c>
    </row>
    <row r="1375">
      <c r="A1375" t="inlineStr">
        <is>
          <t>R375</t>
        </is>
      </c>
      <c r="B1375" t="inlineStr">
        <is>
          <t>Q6</t>
        </is>
      </c>
      <c r="C1375" t="inlineStr">
        <is>
          <t>Partial</t>
        </is>
      </c>
      <c r="D1375" t="inlineStr">
        <is>
          <t>No</t>
        </is>
      </c>
      <c r="E1375">
        <f>VLOOKUP(C1375,CategoryMap,2,0)</f>
        <v/>
      </c>
      <c r="F1375">
        <f>VLOOKUP(D1375,CategoryMap,2,0)</f>
        <v/>
      </c>
      <c r="G1375">
        <f>ABS(E1375-F1375)</f>
        <v/>
      </c>
      <c r="H1375">
        <f>IF(G1375=0,"Yes","No")</f>
        <v/>
      </c>
      <c r="I1375" t="inlineStr">
        <is>
          <t>No</t>
        </is>
      </c>
      <c r="J1375">
        <f>IF(I1375="","",IF(AND(I1375=C1375,I1375=D1375),"Both",IF(I1375=C1375,"Opus",IF(I1375=D1375,"Sonnet","Neither"))))</f>
        <v/>
      </c>
    </row>
    <row r="1376">
      <c r="A1376" t="inlineStr">
        <is>
          <t>R375</t>
        </is>
      </c>
      <c r="B1376" t="inlineStr">
        <is>
          <t>Q7</t>
        </is>
      </c>
      <c r="C1376" t="inlineStr">
        <is>
          <t>Yes</t>
        </is>
      </c>
      <c r="D1376" t="inlineStr">
        <is>
          <t>Yes</t>
        </is>
      </c>
      <c r="E1376">
        <f>VLOOKUP(C1376,CategoryMap,2,0)</f>
        <v/>
      </c>
      <c r="F1376">
        <f>VLOOKUP(D1376,CategoryMap,2,0)</f>
        <v/>
      </c>
      <c r="G1376">
        <f>ABS(E1376-F1376)</f>
        <v/>
      </c>
      <c r="H1376">
        <f>IF(G1376=0,"Yes","No")</f>
        <v/>
      </c>
      <c r="I1376" t="inlineStr">
        <is>
          <t>Yes</t>
        </is>
      </c>
      <c r="J1376">
        <f>IF(I1376="","",IF(AND(I1376=C1376,I1376=D1376),"Both",IF(I1376=C1376,"Opus",IF(I1376=D1376,"Sonnet","Neither"))))</f>
        <v/>
      </c>
    </row>
    <row r="1377">
      <c r="A1377" t="inlineStr">
        <is>
          <t>R375</t>
        </is>
      </c>
      <c r="B1377" t="inlineStr">
        <is>
          <t>Q8</t>
        </is>
      </c>
      <c r="C1377" t="inlineStr">
        <is>
          <t>Partial</t>
        </is>
      </c>
      <c r="D1377" t="inlineStr">
        <is>
          <t>Partial</t>
        </is>
      </c>
      <c r="E1377">
        <f>VLOOKUP(C1377,CategoryMap,2,0)</f>
        <v/>
      </c>
      <c r="F1377">
        <f>VLOOKUP(D1377,CategoryMap,2,0)</f>
        <v/>
      </c>
      <c r="G1377">
        <f>ABS(E1377-F1377)</f>
        <v/>
      </c>
      <c r="H1377">
        <f>IF(G1377=0,"Yes","No")</f>
        <v/>
      </c>
      <c r="I1377" t="inlineStr">
        <is>
          <t>Partial</t>
        </is>
      </c>
      <c r="J1377">
        <f>IF(I1377="","",IF(AND(I1377=C1377,I1377=D1377),"Both",IF(I1377=C1377,"Opus",IF(I1377=D1377,"Sonnet","Neither"))))</f>
        <v/>
      </c>
    </row>
    <row r="1378">
      <c r="A1378" t="inlineStr">
        <is>
          <t>R376</t>
        </is>
      </c>
      <c r="B1378" t="inlineStr">
        <is>
          <t>Q1</t>
        </is>
      </c>
      <c r="C1378" t="inlineStr">
        <is>
          <t>Partial</t>
        </is>
      </c>
      <c r="D1378" t="inlineStr">
        <is>
          <t>Yes</t>
        </is>
      </c>
      <c r="E1378">
        <f>VLOOKUP(C1378,CategoryMap,2,0)</f>
        <v/>
      </c>
      <c r="F1378">
        <f>VLOOKUP(D1378,CategoryMap,2,0)</f>
        <v/>
      </c>
      <c r="G1378">
        <f>ABS(E1378-F1378)</f>
        <v/>
      </c>
      <c r="H1378">
        <f>IF(G1378=0,"Yes","No")</f>
        <v/>
      </c>
      <c r="I1378" t="inlineStr">
        <is>
          <t>Partial</t>
        </is>
      </c>
      <c r="J1378">
        <f>IF(I1378="","",IF(AND(I1378=C1378,I1378=D1378),"Both",IF(I1378=C1378,"Opus",IF(I1378=D1378,"Sonnet","Neither"))))</f>
        <v/>
      </c>
    </row>
    <row r="1379">
      <c r="A1379" t="inlineStr">
        <is>
          <t>R376</t>
        </is>
      </c>
      <c r="B1379" t="inlineStr">
        <is>
          <t>Q2</t>
        </is>
      </c>
      <c r="C1379" t="inlineStr">
        <is>
          <t>Partial</t>
        </is>
      </c>
      <c r="D1379" t="inlineStr">
        <is>
          <t>Partial</t>
        </is>
      </c>
      <c r="E1379">
        <f>VLOOKUP(C1379,CategoryMap,2,0)</f>
        <v/>
      </c>
      <c r="F1379">
        <f>VLOOKUP(D1379,CategoryMap,2,0)</f>
        <v/>
      </c>
      <c r="G1379">
        <f>ABS(E1379-F1379)</f>
        <v/>
      </c>
      <c r="H1379">
        <f>IF(G1379=0,"Yes","No")</f>
        <v/>
      </c>
      <c r="I1379" t="inlineStr">
        <is>
          <t>Partial</t>
        </is>
      </c>
      <c r="J1379">
        <f>IF(I1379="","",IF(AND(I1379=C1379,I1379=D1379),"Both",IF(I1379=C1379,"Opus",IF(I1379=D1379,"Sonnet","Neither"))))</f>
        <v/>
      </c>
    </row>
    <row r="1380">
      <c r="A1380" t="inlineStr">
        <is>
          <t>R376</t>
        </is>
      </c>
      <c r="B1380" t="inlineStr">
        <is>
          <t>Q3</t>
        </is>
      </c>
      <c r="C1380" t="inlineStr">
        <is>
          <t>Yes</t>
        </is>
      </c>
      <c r="D1380" t="inlineStr">
        <is>
          <t>Yes</t>
        </is>
      </c>
      <c r="E1380">
        <f>VLOOKUP(C1380,CategoryMap,2,0)</f>
        <v/>
      </c>
      <c r="F1380">
        <f>VLOOKUP(D1380,CategoryMap,2,0)</f>
        <v/>
      </c>
      <c r="G1380">
        <f>ABS(E1380-F1380)</f>
        <v/>
      </c>
      <c r="H1380">
        <f>IF(G1380=0,"Yes","No")</f>
        <v/>
      </c>
      <c r="I1380" t="inlineStr">
        <is>
          <t>Yes</t>
        </is>
      </c>
      <c r="J1380">
        <f>IF(I1380="","",IF(AND(I1380=C1380,I1380=D1380),"Both",IF(I1380=C1380,"Opus",IF(I1380=D1380,"Sonnet","Neither"))))</f>
        <v/>
      </c>
    </row>
    <row r="1381">
      <c r="A1381" t="inlineStr">
        <is>
          <t>R376</t>
        </is>
      </c>
      <c r="B1381" t="inlineStr">
        <is>
          <t>Q4</t>
        </is>
      </c>
      <c r="C1381" t="inlineStr">
        <is>
          <t>Partial</t>
        </is>
      </c>
      <c r="D1381" t="inlineStr">
        <is>
          <t>Partial</t>
        </is>
      </c>
      <c r="E1381">
        <f>VLOOKUP(C1381,CategoryMap,2,0)</f>
        <v/>
      </c>
      <c r="F1381">
        <f>VLOOKUP(D1381,CategoryMap,2,0)</f>
        <v/>
      </c>
      <c r="G1381">
        <f>ABS(E1381-F1381)</f>
        <v/>
      </c>
      <c r="H1381">
        <f>IF(G1381=0,"Yes","No")</f>
        <v/>
      </c>
      <c r="I1381" t="inlineStr">
        <is>
          <t>Partial</t>
        </is>
      </c>
      <c r="J1381">
        <f>IF(I1381="","",IF(AND(I1381=C1381,I1381=D1381),"Both",IF(I1381=C1381,"Opus",IF(I1381=D1381,"Sonnet","Neither"))))</f>
        <v/>
      </c>
    </row>
    <row r="1382">
      <c r="A1382" t="inlineStr">
        <is>
          <t>R376</t>
        </is>
      </c>
      <c r="B1382" t="inlineStr">
        <is>
          <t>Q5</t>
        </is>
      </c>
      <c r="C1382" t="inlineStr">
        <is>
          <t>Yes</t>
        </is>
      </c>
      <c r="D1382" t="inlineStr">
        <is>
          <t>Yes</t>
        </is>
      </c>
      <c r="E1382">
        <f>VLOOKUP(C1382,CategoryMap,2,0)</f>
        <v/>
      </c>
      <c r="F1382">
        <f>VLOOKUP(D1382,CategoryMap,2,0)</f>
        <v/>
      </c>
      <c r="G1382">
        <f>ABS(E1382-F1382)</f>
        <v/>
      </c>
      <c r="H1382">
        <f>IF(G1382=0,"Yes","No")</f>
        <v/>
      </c>
      <c r="I1382" t="inlineStr">
        <is>
          <t>Yes</t>
        </is>
      </c>
      <c r="J1382">
        <f>IF(I1382="","",IF(AND(I1382=C1382,I1382=D1382),"Both",IF(I1382=C1382,"Opus",IF(I1382=D1382,"Sonnet","Neither"))))</f>
        <v/>
      </c>
    </row>
    <row r="1383">
      <c r="A1383" t="inlineStr">
        <is>
          <t>R376</t>
        </is>
      </c>
      <c r="B1383" t="inlineStr">
        <is>
          <t>Q6</t>
        </is>
      </c>
      <c r="C1383" t="inlineStr">
        <is>
          <t>Partial</t>
        </is>
      </c>
      <c r="D1383" t="inlineStr">
        <is>
          <t>Partial</t>
        </is>
      </c>
      <c r="E1383">
        <f>VLOOKUP(C1383,CategoryMap,2,0)</f>
        <v/>
      </c>
      <c r="F1383">
        <f>VLOOKUP(D1383,CategoryMap,2,0)</f>
        <v/>
      </c>
      <c r="G1383">
        <f>ABS(E1383-F1383)</f>
        <v/>
      </c>
      <c r="H1383">
        <f>IF(G1383=0,"Yes","No")</f>
        <v/>
      </c>
      <c r="I1383" t="inlineStr">
        <is>
          <t>Partial</t>
        </is>
      </c>
      <c r="J1383">
        <f>IF(I1383="","",IF(AND(I1383=C1383,I1383=D1383),"Both",IF(I1383=C1383,"Opus",IF(I1383=D1383,"Sonnet","Neither"))))</f>
        <v/>
      </c>
    </row>
    <row r="1384">
      <c r="A1384" t="inlineStr">
        <is>
          <t>R376</t>
        </is>
      </c>
      <c r="B1384" t="inlineStr">
        <is>
          <t>Q7</t>
        </is>
      </c>
      <c r="C1384" t="inlineStr">
        <is>
          <t>Yes</t>
        </is>
      </c>
      <c r="D1384" t="inlineStr">
        <is>
          <t>Yes</t>
        </is>
      </c>
      <c r="E1384">
        <f>VLOOKUP(C1384,CategoryMap,2,0)</f>
        <v/>
      </c>
      <c r="F1384">
        <f>VLOOKUP(D1384,CategoryMap,2,0)</f>
        <v/>
      </c>
      <c r="G1384">
        <f>ABS(E1384-F1384)</f>
        <v/>
      </c>
      <c r="H1384">
        <f>IF(G1384=0,"Yes","No")</f>
        <v/>
      </c>
      <c r="I1384" t="inlineStr">
        <is>
          <t>Yes</t>
        </is>
      </c>
      <c r="J1384">
        <f>IF(I1384="","",IF(AND(I1384=C1384,I1384=D1384),"Both",IF(I1384=C1384,"Opus",IF(I1384=D1384,"Sonnet","Neither"))))</f>
        <v/>
      </c>
    </row>
    <row r="1385">
      <c r="A1385" t="inlineStr">
        <is>
          <t>R376</t>
        </is>
      </c>
      <c r="B1385" t="inlineStr">
        <is>
          <t>Q8</t>
        </is>
      </c>
      <c r="C1385" t="inlineStr">
        <is>
          <t>Yes</t>
        </is>
      </c>
      <c r="D1385" t="inlineStr">
        <is>
          <t>Partial</t>
        </is>
      </c>
      <c r="E1385">
        <f>VLOOKUP(C1385,CategoryMap,2,0)</f>
        <v/>
      </c>
      <c r="F1385">
        <f>VLOOKUP(D1385,CategoryMap,2,0)</f>
        <v/>
      </c>
      <c r="G1385">
        <f>ABS(E1385-F1385)</f>
        <v/>
      </c>
      <c r="H1385">
        <f>IF(G1385=0,"Yes","No")</f>
        <v/>
      </c>
      <c r="I1385" t="inlineStr">
        <is>
          <t>Partial</t>
        </is>
      </c>
      <c r="J1385">
        <f>IF(I1385="","",IF(AND(I1385=C1385,I1385=D1385),"Both",IF(I1385=C1385,"Opus",IF(I1385=D1385,"Sonnet","Neither"))))</f>
        <v/>
      </c>
    </row>
    <row r="1386">
      <c r="A1386" t="inlineStr">
        <is>
          <t>R379</t>
        </is>
      </c>
      <c r="B1386" t="inlineStr">
        <is>
          <t>Q1</t>
        </is>
      </c>
      <c r="C1386" t="inlineStr">
        <is>
          <t>Partial</t>
        </is>
      </c>
      <c r="D1386" t="inlineStr">
        <is>
          <t>Partial</t>
        </is>
      </c>
      <c r="E1386">
        <f>VLOOKUP(C1386,CategoryMap,2,0)</f>
        <v/>
      </c>
      <c r="F1386">
        <f>VLOOKUP(D1386,CategoryMap,2,0)</f>
        <v/>
      </c>
      <c r="G1386">
        <f>ABS(E1386-F1386)</f>
        <v/>
      </c>
      <c r="H1386">
        <f>IF(G1386=0,"Yes","No")</f>
        <v/>
      </c>
      <c r="I1386" t="inlineStr">
        <is>
          <t>Partial</t>
        </is>
      </c>
      <c r="J1386">
        <f>IF(I1386="","",IF(AND(I1386=C1386,I1386=D1386),"Both",IF(I1386=C1386,"Opus",IF(I1386=D1386,"Sonnet","Neither"))))</f>
        <v/>
      </c>
    </row>
    <row r="1387">
      <c r="A1387" t="inlineStr">
        <is>
          <t>R379</t>
        </is>
      </c>
      <c r="B1387" t="inlineStr">
        <is>
          <t>Q2</t>
        </is>
      </c>
      <c r="C1387" t="inlineStr">
        <is>
          <t>Yes</t>
        </is>
      </c>
      <c r="D1387" t="inlineStr">
        <is>
          <t>Partial</t>
        </is>
      </c>
      <c r="E1387">
        <f>VLOOKUP(C1387,CategoryMap,2,0)</f>
        <v/>
      </c>
      <c r="F1387">
        <f>VLOOKUP(D1387,CategoryMap,2,0)</f>
        <v/>
      </c>
      <c r="G1387">
        <f>ABS(E1387-F1387)</f>
        <v/>
      </c>
      <c r="H1387">
        <f>IF(G1387=0,"Yes","No")</f>
        <v/>
      </c>
      <c r="I1387" t="inlineStr">
        <is>
          <t>Partial</t>
        </is>
      </c>
      <c r="J1387">
        <f>IF(I1387="","",IF(AND(I1387=C1387,I1387=D1387),"Both",IF(I1387=C1387,"Opus",IF(I1387=D1387,"Sonnet","Neither"))))</f>
        <v/>
      </c>
    </row>
    <row r="1388">
      <c r="A1388" t="inlineStr">
        <is>
          <t>R379</t>
        </is>
      </c>
      <c r="B1388" t="inlineStr">
        <is>
          <t>Q3</t>
        </is>
      </c>
      <c r="C1388" t="inlineStr">
        <is>
          <t>Yes</t>
        </is>
      </c>
      <c r="D1388" t="inlineStr">
        <is>
          <t>Yes</t>
        </is>
      </c>
      <c r="E1388">
        <f>VLOOKUP(C1388,CategoryMap,2,0)</f>
        <v/>
      </c>
      <c r="F1388">
        <f>VLOOKUP(D1388,CategoryMap,2,0)</f>
        <v/>
      </c>
      <c r="G1388">
        <f>ABS(E1388-F1388)</f>
        <v/>
      </c>
      <c r="H1388">
        <f>IF(G1388=0,"Yes","No")</f>
        <v/>
      </c>
      <c r="I1388" t="inlineStr">
        <is>
          <t>Yes</t>
        </is>
      </c>
      <c r="J1388">
        <f>IF(I1388="","",IF(AND(I1388=C1388,I1388=D1388),"Both",IF(I1388=C1388,"Opus",IF(I1388=D1388,"Sonnet","Neither"))))</f>
        <v/>
      </c>
    </row>
    <row r="1389">
      <c r="A1389" t="inlineStr">
        <is>
          <t>R379</t>
        </is>
      </c>
      <c r="B1389" t="inlineStr">
        <is>
          <t>Q4</t>
        </is>
      </c>
      <c r="C1389" t="inlineStr">
        <is>
          <t>Partial</t>
        </is>
      </c>
      <c r="D1389" t="inlineStr">
        <is>
          <t>Partial</t>
        </is>
      </c>
      <c r="E1389">
        <f>VLOOKUP(C1389,CategoryMap,2,0)</f>
        <v/>
      </c>
      <c r="F1389">
        <f>VLOOKUP(D1389,CategoryMap,2,0)</f>
        <v/>
      </c>
      <c r="G1389">
        <f>ABS(E1389-F1389)</f>
        <v/>
      </c>
      <c r="H1389">
        <f>IF(G1389=0,"Yes","No")</f>
        <v/>
      </c>
      <c r="I1389" t="inlineStr">
        <is>
          <t>Partial</t>
        </is>
      </c>
      <c r="J1389">
        <f>IF(I1389="","",IF(AND(I1389=C1389,I1389=D1389),"Both",IF(I1389=C1389,"Opus",IF(I1389=D1389,"Sonnet","Neither"))))</f>
        <v/>
      </c>
    </row>
    <row r="1390">
      <c r="A1390" t="inlineStr">
        <is>
          <t>R379</t>
        </is>
      </c>
      <c r="B1390" t="inlineStr">
        <is>
          <t>Q5</t>
        </is>
      </c>
      <c r="C1390" t="inlineStr">
        <is>
          <t>Yes</t>
        </is>
      </c>
      <c r="D1390" t="inlineStr">
        <is>
          <t>Yes</t>
        </is>
      </c>
      <c r="E1390">
        <f>VLOOKUP(C1390,CategoryMap,2,0)</f>
        <v/>
      </c>
      <c r="F1390">
        <f>VLOOKUP(D1390,CategoryMap,2,0)</f>
        <v/>
      </c>
      <c r="G1390">
        <f>ABS(E1390-F1390)</f>
        <v/>
      </c>
      <c r="H1390">
        <f>IF(G1390=0,"Yes","No")</f>
        <v/>
      </c>
      <c r="I1390" t="inlineStr">
        <is>
          <t>Yes</t>
        </is>
      </c>
      <c r="J1390">
        <f>IF(I1390="","",IF(AND(I1390=C1390,I1390=D1390),"Both",IF(I1390=C1390,"Opus",IF(I1390=D1390,"Sonnet","Neither"))))</f>
        <v/>
      </c>
    </row>
    <row r="1391">
      <c r="A1391" t="inlineStr">
        <is>
          <t>R379</t>
        </is>
      </c>
      <c r="B1391" t="inlineStr">
        <is>
          <t>Q6</t>
        </is>
      </c>
      <c r="C1391" t="inlineStr">
        <is>
          <t>Yes</t>
        </is>
      </c>
      <c r="D1391" t="inlineStr">
        <is>
          <t>Yes</t>
        </is>
      </c>
      <c r="E1391">
        <f>VLOOKUP(C1391,CategoryMap,2,0)</f>
        <v/>
      </c>
      <c r="F1391">
        <f>VLOOKUP(D1391,CategoryMap,2,0)</f>
        <v/>
      </c>
      <c r="G1391">
        <f>ABS(E1391-F1391)</f>
        <v/>
      </c>
      <c r="H1391">
        <f>IF(G1391=0,"Yes","No")</f>
        <v/>
      </c>
      <c r="I1391" t="inlineStr">
        <is>
          <t>Yes</t>
        </is>
      </c>
      <c r="J1391">
        <f>IF(I1391="","",IF(AND(I1391=C1391,I1391=D1391),"Both",IF(I1391=C1391,"Opus",IF(I1391=D1391,"Sonnet","Neither"))))</f>
        <v/>
      </c>
    </row>
    <row r="1392">
      <c r="A1392" t="inlineStr">
        <is>
          <t>R379</t>
        </is>
      </c>
      <c r="B1392" t="inlineStr">
        <is>
          <t>Q7</t>
        </is>
      </c>
      <c r="C1392" t="inlineStr">
        <is>
          <t>Yes</t>
        </is>
      </c>
      <c r="D1392" t="inlineStr">
        <is>
          <t>Yes</t>
        </is>
      </c>
      <c r="E1392">
        <f>VLOOKUP(C1392,CategoryMap,2,0)</f>
        <v/>
      </c>
      <c r="F1392">
        <f>VLOOKUP(D1392,CategoryMap,2,0)</f>
        <v/>
      </c>
      <c r="G1392">
        <f>ABS(E1392-F1392)</f>
        <v/>
      </c>
      <c r="H1392">
        <f>IF(G1392=0,"Yes","No")</f>
        <v/>
      </c>
      <c r="I1392" t="inlineStr">
        <is>
          <t>Yes</t>
        </is>
      </c>
      <c r="J1392">
        <f>IF(I1392="","",IF(AND(I1392=C1392,I1392=D1392),"Both",IF(I1392=C1392,"Opus",IF(I1392=D1392,"Sonnet","Neither"))))</f>
        <v/>
      </c>
    </row>
    <row r="1393">
      <c r="A1393" t="inlineStr">
        <is>
          <t>R379</t>
        </is>
      </c>
      <c r="B1393" t="inlineStr">
        <is>
          <t>Q8</t>
        </is>
      </c>
      <c r="C1393" t="inlineStr">
        <is>
          <t>Partial</t>
        </is>
      </c>
      <c r="D1393" t="inlineStr">
        <is>
          <t>Partial</t>
        </is>
      </c>
      <c r="E1393">
        <f>VLOOKUP(C1393,CategoryMap,2,0)</f>
        <v/>
      </c>
      <c r="F1393">
        <f>VLOOKUP(D1393,CategoryMap,2,0)</f>
        <v/>
      </c>
      <c r="G1393">
        <f>ABS(E1393-F1393)</f>
        <v/>
      </c>
      <c r="H1393">
        <f>IF(G1393=0,"Yes","No")</f>
        <v/>
      </c>
      <c r="I1393" t="inlineStr">
        <is>
          <t>Yes</t>
        </is>
      </c>
      <c r="J1393">
        <f>IF(I1393="","",IF(AND(I1393=C1393,I1393=D1393),"Both",IF(I1393=C1393,"Opus",IF(I1393=D1393,"Sonnet","Neither"))))</f>
        <v/>
      </c>
    </row>
    <row r="1394">
      <c r="A1394" t="inlineStr">
        <is>
          <t>R381</t>
        </is>
      </c>
      <c r="B1394" t="inlineStr">
        <is>
          <t>Q1</t>
        </is>
      </c>
      <c r="C1394" t="inlineStr">
        <is>
          <t>No</t>
        </is>
      </c>
      <c r="D1394" t="inlineStr">
        <is>
          <t>No</t>
        </is>
      </c>
      <c r="E1394">
        <f>VLOOKUP(C1394,CategoryMap,2,0)</f>
        <v/>
      </c>
      <c r="F1394">
        <f>VLOOKUP(D1394,CategoryMap,2,0)</f>
        <v/>
      </c>
      <c r="G1394">
        <f>ABS(E1394-F1394)</f>
        <v/>
      </c>
      <c r="H1394">
        <f>IF(G1394=0,"Yes","No")</f>
        <v/>
      </c>
      <c r="I1394" t="inlineStr">
        <is>
          <t>No</t>
        </is>
      </c>
      <c r="J1394">
        <f>IF(I1394="","",IF(AND(I1394=C1394,I1394=D1394),"Both",IF(I1394=C1394,"Opus",IF(I1394=D1394,"Sonnet","Neither"))))</f>
        <v/>
      </c>
    </row>
    <row r="1395">
      <c r="A1395" t="inlineStr">
        <is>
          <t>R381</t>
        </is>
      </c>
      <c r="B1395" t="inlineStr">
        <is>
          <t>Q2</t>
        </is>
      </c>
      <c r="C1395" t="inlineStr">
        <is>
          <t>Partial</t>
        </is>
      </c>
      <c r="D1395" t="inlineStr">
        <is>
          <t>No</t>
        </is>
      </c>
      <c r="E1395">
        <f>VLOOKUP(C1395,CategoryMap,2,0)</f>
        <v/>
      </c>
      <c r="F1395">
        <f>VLOOKUP(D1395,CategoryMap,2,0)</f>
        <v/>
      </c>
      <c r="G1395">
        <f>ABS(E1395-F1395)</f>
        <v/>
      </c>
      <c r="H1395">
        <f>IF(G1395=0,"Yes","No")</f>
        <v/>
      </c>
      <c r="I1395" t="inlineStr">
        <is>
          <t>No</t>
        </is>
      </c>
      <c r="J1395">
        <f>IF(I1395="","",IF(AND(I1395=C1395,I1395=D1395),"Both",IF(I1395=C1395,"Opus",IF(I1395=D1395,"Sonnet","Neither"))))</f>
        <v/>
      </c>
    </row>
    <row r="1396">
      <c r="A1396" t="inlineStr">
        <is>
          <t>R381</t>
        </is>
      </c>
      <c r="B1396" t="inlineStr">
        <is>
          <t>Q3</t>
        </is>
      </c>
      <c r="C1396" t="inlineStr">
        <is>
          <t>Partial</t>
        </is>
      </c>
      <c r="D1396" t="inlineStr">
        <is>
          <t>No</t>
        </is>
      </c>
      <c r="E1396">
        <f>VLOOKUP(C1396,CategoryMap,2,0)</f>
        <v/>
      </c>
      <c r="F1396">
        <f>VLOOKUP(D1396,CategoryMap,2,0)</f>
        <v/>
      </c>
      <c r="G1396">
        <f>ABS(E1396-F1396)</f>
        <v/>
      </c>
      <c r="H1396">
        <f>IF(G1396=0,"Yes","No")</f>
        <v/>
      </c>
      <c r="I1396" t="inlineStr">
        <is>
          <t>No</t>
        </is>
      </c>
      <c r="J1396">
        <f>IF(I1396="","",IF(AND(I1396=C1396,I1396=D1396),"Both",IF(I1396=C1396,"Opus",IF(I1396=D1396,"Sonnet","Neither"))))</f>
        <v/>
      </c>
    </row>
    <row r="1397">
      <c r="A1397" t="inlineStr">
        <is>
          <t>R381</t>
        </is>
      </c>
      <c r="B1397" t="inlineStr">
        <is>
          <t>Q4</t>
        </is>
      </c>
      <c r="C1397" t="inlineStr">
        <is>
          <t>Partial</t>
        </is>
      </c>
      <c r="D1397" t="inlineStr">
        <is>
          <t>Partial</t>
        </is>
      </c>
      <c r="E1397">
        <f>VLOOKUP(C1397,CategoryMap,2,0)</f>
        <v/>
      </c>
      <c r="F1397">
        <f>VLOOKUP(D1397,CategoryMap,2,0)</f>
        <v/>
      </c>
      <c r="G1397">
        <f>ABS(E1397-F1397)</f>
        <v/>
      </c>
      <c r="H1397">
        <f>IF(G1397=0,"Yes","No")</f>
        <v/>
      </c>
      <c r="I1397" t="inlineStr">
        <is>
          <t>Partial</t>
        </is>
      </c>
      <c r="J1397">
        <f>IF(I1397="","",IF(AND(I1397=C1397,I1397=D1397),"Both",IF(I1397=C1397,"Opus",IF(I1397=D1397,"Sonnet","Neither"))))</f>
        <v/>
      </c>
    </row>
    <row r="1398">
      <c r="A1398" t="inlineStr">
        <is>
          <t>R381</t>
        </is>
      </c>
      <c r="B1398" t="inlineStr">
        <is>
          <t>Q5</t>
        </is>
      </c>
      <c r="C1398" t="inlineStr">
        <is>
          <t>Partial</t>
        </is>
      </c>
      <c r="D1398" t="inlineStr">
        <is>
          <t>Partial</t>
        </is>
      </c>
      <c r="E1398">
        <f>VLOOKUP(C1398,CategoryMap,2,0)</f>
        <v/>
      </c>
      <c r="F1398">
        <f>VLOOKUP(D1398,CategoryMap,2,0)</f>
        <v/>
      </c>
      <c r="G1398">
        <f>ABS(E1398-F1398)</f>
        <v/>
      </c>
      <c r="H1398">
        <f>IF(G1398=0,"Yes","No")</f>
        <v/>
      </c>
      <c r="I1398" t="inlineStr">
        <is>
          <t>Partial</t>
        </is>
      </c>
      <c r="J1398">
        <f>IF(I1398="","",IF(AND(I1398=C1398,I1398=D1398),"Both",IF(I1398=C1398,"Opus",IF(I1398=D1398,"Sonnet","Neither"))))</f>
        <v/>
      </c>
    </row>
    <row r="1399">
      <c r="A1399" t="inlineStr">
        <is>
          <t>R381</t>
        </is>
      </c>
      <c r="B1399" t="inlineStr">
        <is>
          <t>Q6</t>
        </is>
      </c>
      <c r="C1399" t="inlineStr">
        <is>
          <t>Partial</t>
        </is>
      </c>
      <c r="D1399" t="inlineStr">
        <is>
          <t>Partial</t>
        </is>
      </c>
      <c r="E1399">
        <f>VLOOKUP(C1399,CategoryMap,2,0)</f>
        <v/>
      </c>
      <c r="F1399">
        <f>VLOOKUP(D1399,CategoryMap,2,0)</f>
        <v/>
      </c>
      <c r="G1399">
        <f>ABS(E1399-F1399)</f>
        <v/>
      </c>
      <c r="H1399">
        <f>IF(G1399=0,"Yes","No")</f>
        <v/>
      </c>
      <c r="I1399" t="inlineStr">
        <is>
          <t>Partial</t>
        </is>
      </c>
      <c r="J1399">
        <f>IF(I1399="","",IF(AND(I1399=C1399,I1399=D1399),"Both",IF(I1399=C1399,"Opus",IF(I1399=D1399,"Sonnet","Neither"))))</f>
        <v/>
      </c>
    </row>
    <row r="1400">
      <c r="A1400" t="inlineStr">
        <is>
          <t>R381</t>
        </is>
      </c>
      <c r="B1400" t="inlineStr">
        <is>
          <t>Q7</t>
        </is>
      </c>
      <c r="C1400" t="inlineStr">
        <is>
          <t>No</t>
        </is>
      </c>
      <c r="D1400" t="inlineStr">
        <is>
          <t>No</t>
        </is>
      </c>
      <c r="E1400">
        <f>VLOOKUP(C1400,CategoryMap,2,0)</f>
        <v/>
      </c>
      <c r="F1400">
        <f>VLOOKUP(D1400,CategoryMap,2,0)</f>
        <v/>
      </c>
      <c r="G1400">
        <f>ABS(E1400-F1400)</f>
        <v/>
      </c>
      <c r="H1400">
        <f>IF(G1400=0,"Yes","No")</f>
        <v/>
      </c>
      <c r="I1400" t="inlineStr">
        <is>
          <t>No</t>
        </is>
      </c>
      <c r="J1400">
        <f>IF(I1400="","",IF(AND(I1400=C1400,I1400=D1400),"Both",IF(I1400=C1400,"Opus",IF(I1400=D1400,"Sonnet","Neither"))))</f>
        <v/>
      </c>
    </row>
    <row r="1401">
      <c r="A1401" t="inlineStr">
        <is>
          <t>R381</t>
        </is>
      </c>
      <c r="B1401" t="inlineStr">
        <is>
          <t>Q8</t>
        </is>
      </c>
      <c r="C1401" t="inlineStr">
        <is>
          <t>No</t>
        </is>
      </c>
      <c r="D1401" t="inlineStr">
        <is>
          <t>No</t>
        </is>
      </c>
      <c r="E1401">
        <f>VLOOKUP(C1401,CategoryMap,2,0)</f>
        <v/>
      </c>
      <c r="F1401">
        <f>VLOOKUP(D1401,CategoryMap,2,0)</f>
        <v/>
      </c>
      <c r="G1401">
        <f>ABS(E1401-F1401)</f>
        <v/>
      </c>
      <c r="H1401">
        <f>IF(G1401=0,"Yes","No")</f>
        <v/>
      </c>
      <c r="I1401" t="inlineStr">
        <is>
          <t>No</t>
        </is>
      </c>
      <c r="J1401">
        <f>IF(I1401="","",IF(AND(I1401=C1401,I1401=D1401),"Both",IF(I1401=C1401,"Opus",IF(I1401=D1401,"Sonnet","Neither"))))</f>
        <v/>
      </c>
    </row>
    <row r="1402">
      <c r="A1402" t="inlineStr">
        <is>
          <t>R382</t>
        </is>
      </c>
      <c r="B1402" t="inlineStr">
        <is>
          <t>Q1</t>
        </is>
      </c>
      <c r="C1402" t="inlineStr">
        <is>
          <t>Partial</t>
        </is>
      </c>
      <c r="D1402" t="inlineStr">
        <is>
          <t>Partial</t>
        </is>
      </c>
      <c r="E1402">
        <f>VLOOKUP(C1402,CategoryMap,2,0)</f>
        <v/>
      </c>
      <c r="F1402">
        <f>VLOOKUP(D1402,CategoryMap,2,0)</f>
        <v/>
      </c>
      <c r="G1402">
        <f>ABS(E1402-F1402)</f>
        <v/>
      </c>
      <c r="H1402">
        <f>IF(G1402=0,"Yes","No")</f>
        <v/>
      </c>
      <c r="I1402" t="inlineStr">
        <is>
          <t>Partial</t>
        </is>
      </c>
      <c r="J1402">
        <f>IF(I1402="","",IF(AND(I1402=C1402,I1402=D1402),"Both",IF(I1402=C1402,"Opus",IF(I1402=D1402,"Sonnet","Neither"))))</f>
        <v/>
      </c>
    </row>
    <row r="1403">
      <c r="A1403" t="inlineStr">
        <is>
          <t>R382</t>
        </is>
      </c>
      <c r="B1403" t="inlineStr">
        <is>
          <t>Q2</t>
        </is>
      </c>
      <c r="C1403" t="inlineStr">
        <is>
          <t>Yes</t>
        </is>
      </c>
      <c r="D1403" t="inlineStr">
        <is>
          <t>Yes</t>
        </is>
      </c>
      <c r="E1403">
        <f>VLOOKUP(C1403,CategoryMap,2,0)</f>
        <v/>
      </c>
      <c r="F1403">
        <f>VLOOKUP(D1403,CategoryMap,2,0)</f>
        <v/>
      </c>
      <c r="G1403">
        <f>ABS(E1403-F1403)</f>
        <v/>
      </c>
      <c r="H1403">
        <f>IF(G1403=0,"Yes","No")</f>
        <v/>
      </c>
      <c r="I1403" t="inlineStr">
        <is>
          <t>Yes</t>
        </is>
      </c>
      <c r="J1403">
        <f>IF(I1403="","",IF(AND(I1403=C1403,I1403=D1403),"Both",IF(I1403=C1403,"Opus",IF(I1403=D1403,"Sonnet","Neither"))))</f>
        <v/>
      </c>
    </row>
    <row r="1404">
      <c r="A1404" t="inlineStr">
        <is>
          <t>R382</t>
        </is>
      </c>
      <c r="B1404" t="inlineStr">
        <is>
          <t>Q3</t>
        </is>
      </c>
      <c r="C1404" t="inlineStr">
        <is>
          <t>Yes</t>
        </is>
      </c>
      <c r="D1404" t="inlineStr">
        <is>
          <t>Yes</t>
        </is>
      </c>
      <c r="E1404">
        <f>VLOOKUP(C1404,CategoryMap,2,0)</f>
        <v/>
      </c>
      <c r="F1404">
        <f>VLOOKUP(D1404,CategoryMap,2,0)</f>
        <v/>
      </c>
      <c r="G1404">
        <f>ABS(E1404-F1404)</f>
        <v/>
      </c>
      <c r="H1404">
        <f>IF(G1404=0,"Yes","No")</f>
        <v/>
      </c>
      <c r="I1404" t="inlineStr">
        <is>
          <t>Yes</t>
        </is>
      </c>
      <c r="J1404">
        <f>IF(I1404="","",IF(AND(I1404=C1404,I1404=D1404),"Both",IF(I1404=C1404,"Opus",IF(I1404=D1404,"Sonnet","Neither"))))</f>
        <v/>
      </c>
    </row>
    <row r="1405">
      <c r="A1405" t="inlineStr">
        <is>
          <t>R382</t>
        </is>
      </c>
      <c r="B1405" t="inlineStr">
        <is>
          <t>Q4</t>
        </is>
      </c>
      <c r="C1405" t="inlineStr">
        <is>
          <t>Partial</t>
        </is>
      </c>
      <c r="D1405" t="inlineStr">
        <is>
          <t>Partial</t>
        </is>
      </c>
      <c r="E1405">
        <f>VLOOKUP(C1405,CategoryMap,2,0)</f>
        <v/>
      </c>
      <c r="F1405">
        <f>VLOOKUP(D1405,CategoryMap,2,0)</f>
        <v/>
      </c>
      <c r="G1405">
        <f>ABS(E1405-F1405)</f>
        <v/>
      </c>
      <c r="H1405">
        <f>IF(G1405=0,"Yes","No")</f>
        <v/>
      </c>
      <c r="I1405" t="inlineStr">
        <is>
          <t>Partial</t>
        </is>
      </c>
      <c r="J1405">
        <f>IF(I1405="","",IF(AND(I1405=C1405,I1405=D1405),"Both",IF(I1405=C1405,"Opus",IF(I1405=D1405,"Sonnet","Neither"))))</f>
        <v/>
      </c>
    </row>
    <row r="1406">
      <c r="A1406" t="inlineStr">
        <is>
          <t>R382</t>
        </is>
      </c>
      <c r="B1406" t="inlineStr">
        <is>
          <t>Q5</t>
        </is>
      </c>
      <c r="C1406" t="inlineStr">
        <is>
          <t>Yes</t>
        </is>
      </c>
      <c r="D1406" t="inlineStr">
        <is>
          <t>Yes</t>
        </is>
      </c>
      <c r="E1406">
        <f>VLOOKUP(C1406,CategoryMap,2,0)</f>
        <v/>
      </c>
      <c r="F1406">
        <f>VLOOKUP(D1406,CategoryMap,2,0)</f>
        <v/>
      </c>
      <c r="G1406">
        <f>ABS(E1406-F1406)</f>
        <v/>
      </c>
      <c r="H1406">
        <f>IF(G1406=0,"Yes","No")</f>
        <v/>
      </c>
      <c r="I1406" t="inlineStr">
        <is>
          <t>Yes</t>
        </is>
      </c>
      <c r="J1406">
        <f>IF(I1406="","",IF(AND(I1406=C1406,I1406=D1406),"Both",IF(I1406=C1406,"Opus",IF(I1406=D1406,"Sonnet","Neither"))))</f>
        <v/>
      </c>
    </row>
    <row r="1407">
      <c r="A1407" t="inlineStr">
        <is>
          <t>R382</t>
        </is>
      </c>
      <c r="B1407" t="inlineStr">
        <is>
          <t>Q6</t>
        </is>
      </c>
      <c r="C1407" t="inlineStr">
        <is>
          <t>Yes</t>
        </is>
      </c>
      <c r="D1407" t="inlineStr">
        <is>
          <t>Yes</t>
        </is>
      </c>
      <c r="E1407">
        <f>VLOOKUP(C1407,CategoryMap,2,0)</f>
        <v/>
      </c>
      <c r="F1407">
        <f>VLOOKUP(D1407,CategoryMap,2,0)</f>
        <v/>
      </c>
      <c r="G1407">
        <f>ABS(E1407-F1407)</f>
        <v/>
      </c>
      <c r="H1407">
        <f>IF(G1407=0,"Yes","No")</f>
        <v/>
      </c>
      <c r="I1407" t="inlineStr">
        <is>
          <t>Yes</t>
        </is>
      </c>
      <c r="J1407">
        <f>IF(I1407="","",IF(AND(I1407=C1407,I1407=D1407),"Both",IF(I1407=C1407,"Opus",IF(I1407=D1407,"Sonnet","Neither"))))</f>
        <v/>
      </c>
    </row>
    <row r="1408">
      <c r="A1408" t="inlineStr">
        <is>
          <t>R382</t>
        </is>
      </c>
      <c r="B1408" t="inlineStr">
        <is>
          <t>Q7</t>
        </is>
      </c>
      <c r="C1408" t="inlineStr">
        <is>
          <t>Yes</t>
        </is>
      </c>
      <c r="D1408" t="inlineStr">
        <is>
          <t>Yes</t>
        </is>
      </c>
      <c r="E1408">
        <f>VLOOKUP(C1408,CategoryMap,2,0)</f>
        <v/>
      </c>
      <c r="F1408">
        <f>VLOOKUP(D1408,CategoryMap,2,0)</f>
        <v/>
      </c>
      <c r="G1408">
        <f>ABS(E1408-F1408)</f>
        <v/>
      </c>
      <c r="H1408">
        <f>IF(G1408=0,"Yes","No")</f>
        <v/>
      </c>
      <c r="I1408" t="inlineStr">
        <is>
          <t>Yes</t>
        </is>
      </c>
      <c r="J1408">
        <f>IF(I1408="","",IF(AND(I1408=C1408,I1408=D1408),"Both",IF(I1408=C1408,"Opus",IF(I1408=D1408,"Sonnet","Neither"))))</f>
        <v/>
      </c>
    </row>
    <row r="1409">
      <c r="A1409" t="inlineStr">
        <is>
          <t>R382</t>
        </is>
      </c>
      <c r="B1409" t="inlineStr">
        <is>
          <t>Q8</t>
        </is>
      </c>
      <c r="C1409" t="inlineStr">
        <is>
          <t>Partial</t>
        </is>
      </c>
      <c r="D1409" t="inlineStr">
        <is>
          <t>Partial</t>
        </is>
      </c>
      <c r="E1409">
        <f>VLOOKUP(C1409,CategoryMap,2,0)</f>
        <v/>
      </c>
      <c r="F1409">
        <f>VLOOKUP(D1409,CategoryMap,2,0)</f>
        <v/>
      </c>
      <c r="G1409">
        <f>ABS(E1409-F1409)</f>
        <v/>
      </c>
      <c r="H1409">
        <f>IF(G1409=0,"Yes","No")</f>
        <v/>
      </c>
      <c r="I1409" t="inlineStr">
        <is>
          <t>No</t>
        </is>
      </c>
      <c r="J1409">
        <f>IF(I1409="","",IF(AND(I1409=C1409,I1409=D1409),"Both",IF(I1409=C1409,"Opus",IF(I1409=D1409,"Sonnet","Neither"))))</f>
        <v/>
      </c>
    </row>
    <row r="1410">
      <c r="A1410" t="inlineStr">
        <is>
          <t>R383</t>
        </is>
      </c>
      <c r="B1410" t="inlineStr">
        <is>
          <t>Q1</t>
        </is>
      </c>
      <c r="C1410" t="inlineStr">
        <is>
          <t>Partial</t>
        </is>
      </c>
      <c r="D1410" t="inlineStr">
        <is>
          <t>No</t>
        </is>
      </c>
      <c r="E1410">
        <f>VLOOKUP(C1410,CategoryMap,2,0)</f>
        <v/>
      </c>
      <c r="F1410">
        <f>VLOOKUP(D1410,CategoryMap,2,0)</f>
        <v/>
      </c>
      <c r="G1410">
        <f>ABS(E1410-F1410)</f>
        <v/>
      </c>
      <c r="H1410">
        <f>IF(G1410=0,"Yes","No")</f>
        <v/>
      </c>
      <c r="I1410" t="inlineStr">
        <is>
          <t>No</t>
        </is>
      </c>
      <c r="J1410">
        <f>IF(I1410="","",IF(AND(I1410=C1410,I1410=D1410),"Both",IF(I1410=C1410,"Opus",IF(I1410=D1410,"Sonnet","Neither"))))</f>
        <v/>
      </c>
    </row>
    <row r="1411">
      <c r="A1411" t="inlineStr">
        <is>
          <t>R383</t>
        </is>
      </c>
      <c r="B1411" t="inlineStr">
        <is>
          <t>Q2</t>
        </is>
      </c>
      <c r="C1411" t="inlineStr">
        <is>
          <t>Yes</t>
        </is>
      </c>
      <c r="D1411" t="inlineStr">
        <is>
          <t>Partial</t>
        </is>
      </c>
      <c r="E1411">
        <f>VLOOKUP(C1411,CategoryMap,2,0)</f>
        <v/>
      </c>
      <c r="F1411">
        <f>VLOOKUP(D1411,CategoryMap,2,0)</f>
        <v/>
      </c>
      <c r="G1411">
        <f>ABS(E1411-F1411)</f>
        <v/>
      </c>
      <c r="H1411">
        <f>IF(G1411=0,"Yes","No")</f>
        <v/>
      </c>
      <c r="I1411" t="inlineStr">
        <is>
          <t>Partial</t>
        </is>
      </c>
      <c r="J1411">
        <f>IF(I1411="","",IF(AND(I1411=C1411,I1411=D1411),"Both",IF(I1411=C1411,"Opus",IF(I1411=D1411,"Sonnet","Neither"))))</f>
        <v/>
      </c>
    </row>
    <row r="1412">
      <c r="A1412" t="inlineStr">
        <is>
          <t>R383</t>
        </is>
      </c>
      <c r="B1412" t="inlineStr">
        <is>
          <t>Q3</t>
        </is>
      </c>
      <c r="C1412" t="inlineStr">
        <is>
          <t>Yes</t>
        </is>
      </c>
      <c r="D1412" t="inlineStr">
        <is>
          <t>Partial</t>
        </is>
      </c>
      <c r="E1412">
        <f>VLOOKUP(C1412,CategoryMap,2,0)</f>
        <v/>
      </c>
      <c r="F1412">
        <f>VLOOKUP(D1412,CategoryMap,2,0)</f>
        <v/>
      </c>
      <c r="G1412">
        <f>ABS(E1412-F1412)</f>
        <v/>
      </c>
      <c r="H1412">
        <f>IF(G1412=0,"Yes","No")</f>
        <v/>
      </c>
      <c r="I1412" t="inlineStr">
        <is>
          <t>Yes</t>
        </is>
      </c>
      <c r="J1412">
        <f>IF(I1412="","",IF(AND(I1412=C1412,I1412=D1412),"Both",IF(I1412=C1412,"Opus",IF(I1412=D1412,"Sonnet","Neither"))))</f>
        <v/>
      </c>
    </row>
    <row r="1413">
      <c r="A1413" t="inlineStr">
        <is>
          <t>R383</t>
        </is>
      </c>
      <c r="B1413" t="inlineStr">
        <is>
          <t>Q4</t>
        </is>
      </c>
      <c r="C1413" t="inlineStr">
        <is>
          <t>Partial</t>
        </is>
      </c>
      <c r="D1413" t="inlineStr">
        <is>
          <t>Partial</t>
        </is>
      </c>
      <c r="E1413">
        <f>VLOOKUP(C1413,CategoryMap,2,0)</f>
        <v/>
      </c>
      <c r="F1413">
        <f>VLOOKUP(D1413,CategoryMap,2,0)</f>
        <v/>
      </c>
      <c r="G1413">
        <f>ABS(E1413-F1413)</f>
        <v/>
      </c>
      <c r="H1413">
        <f>IF(G1413=0,"Yes","No")</f>
        <v/>
      </c>
      <c r="I1413" t="inlineStr">
        <is>
          <t>Partial</t>
        </is>
      </c>
      <c r="J1413">
        <f>IF(I1413="","",IF(AND(I1413=C1413,I1413=D1413),"Both",IF(I1413=C1413,"Opus",IF(I1413=D1413,"Sonnet","Neither"))))</f>
        <v/>
      </c>
    </row>
    <row r="1414">
      <c r="A1414" t="inlineStr">
        <is>
          <t>R383</t>
        </is>
      </c>
      <c r="B1414" t="inlineStr">
        <is>
          <t>Q5</t>
        </is>
      </c>
      <c r="C1414" t="inlineStr">
        <is>
          <t>Partial</t>
        </is>
      </c>
      <c r="D1414" t="inlineStr">
        <is>
          <t>Yes</t>
        </is>
      </c>
      <c r="E1414">
        <f>VLOOKUP(C1414,CategoryMap,2,0)</f>
        <v/>
      </c>
      <c r="F1414">
        <f>VLOOKUP(D1414,CategoryMap,2,0)</f>
        <v/>
      </c>
      <c r="G1414">
        <f>ABS(E1414-F1414)</f>
        <v/>
      </c>
      <c r="H1414">
        <f>IF(G1414=0,"Yes","No")</f>
        <v/>
      </c>
      <c r="I1414" t="inlineStr">
        <is>
          <t>Partial</t>
        </is>
      </c>
      <c r="J1414">
        <f>IF(I1414="","",IF(AND(I1414=C1414,I1414=D1414),"Both",IF(I1414=C1414,"Opus",IF(I1414=D1414,"Sonnet","Neither"))))</f>
        <v/>
      </c>
    </row>
    <row r="1415">
      <c r="A1415" t="inlineStr">
        <is>
          <t>R383</t>
        </is>
      </c>
      <c r="B1415" t="inlineStr">
        <is>
          <t>Q6</t>
        </is>
      </c>
      <c r="C1415" t="inlineStr">
        <is>
          <t>Partial</t>
        </is>
      </c>
      <c r="D1415" t="inlineStr">
        <is>
          <t>Partial</t>
        </is>
      </c>
      <c r="E1415">
        <f>VLOOKUP(C1415,CategoryMap,2,0)</f>
        <v/>
      </c>
      <c r="F1415">
        <f>VLOOKUP(D1415,CategoryMap,2,0)</f>
        <v/>
      </c>
      <c r="G1415">
        <f>ABS(E1415-F1415)</f>
        <v/>
      </c>
      <c r="H1415">
        <f>IF(G1415=0,"Yes","No")</f>
        <v/>
      </c>
      <c r="I1415" t="inlineStr">
        <is>
          <t>Partial</t>
        </is>
      </c>
      <c r="J1415">
        <f>IF(I1415="","",IF(AND(I1415=C1415,I1415=D1415),"Both",IF(I1415=C1415,"Opus",IF(I1415=D1415,"Sonnet","Neither"))))</f>
        <v/>
      </c>
    </row>
    <row r="1416">
      <c r="A1416" t="inlineStr">
        <is>
          <t>R383</t>
        </is>
      </c>
      <c r="B1416" t="inlineStr">
        <is>
          <t>Q7</t>
        </is>
      </c>
      <c r="C1416" t="inlineStr">
        <is>
          <t>Yes</t>
        </is>
      </c>
      <c r="D1416" t="inlineStr">
        <is>
          <t>Yes</t>
        </is>
      </c>
      <c r="E1416">
        <f>VLOOKUP(C1416,CategoryMap,2,0)</f>
        <v/>
      </c>
      <c r="F1416">
        <f>VLOOKUP(D1416,CategoryMap,2,0)</f>
        <v/>
      </c>
      <c r="G1416">
        <f>ABS(E1416-F1416)</f>
        <v/>
      </c>
      <c r="H1416">
        <f>IF(G1416=0,"Yes","No")</f>
        <v/>
      </c>
      <c r="I1416" t="inlineStr">
        <is>
          <t>Yes</t>
        </is>
      </c>
      <c r="J1416">
        <f>IF(I1416="","",IF(AND(I1416=C1416,I1416=D1416),"Both",IF(I1416=C1416,"Opus",IF(I1416=D1416,"Sonnet","Neither"))))</f>
        <v/>
      </c>
    </row>
    <row r="1417">
      <c r="A1417" t="inlineStr">
        <is>
          <t>R383</t>
        </is>
      </c>
      <c r="B1417" t="inlineStr">
        <is>
          <t>Q8</t>
        </is>
      </c>
      <c r="C1417" t="inlineStr">
        <is>
          <t>Partial</t>
        </is>
      </c>
      <c r="D1417" t="inlineStr">
        <is>
          <t>No</t>
        </is>
      </c>
      <c r="E1417">
        <f>VLOOKUP(C1417,CategoryMap,2,0)</f>
        <v/>
      </c>
      <c r="F1417">
        <f>VLOOKUP(D1417,CategoryMap,2,0)</f>
        <v/>
      </c>
      <c r="G1417">
        <f>ABS(E1417-F1417)</f>
        <v/>
      </c>
      <c r="H1417">
        <f>IF(G1417=0,"Yes","No")</f>
        <v/>
      </c>
      <c r="I1417" t="inlineStr">
        <is>
          <t>Partial</t>
        </is>
      </c>
      <c r="J1417">
        <f>IF(I1417="","",IF(AND(I1417=C1417,I1417=D1417),"Both",IF(I1417=C1417,"Opus",IF(I1417=D1417,"Sonnet","Neither"))))</f>
        <v/>
      </c>
    </row>
    <row r="1418">
      <c r="A1418" t="inlineStr">
        <is>
          <t>R386</t>
        </is>
      </c>
      <c r="B1418" t="inlineStr">
        <is>
          <t>Q1</t>
        </is>
      </c>
      <c r="C1418" t="inlineStr">
        <is>
          <t>Partial</t>
        </is>
      </c>
      <c r="D1418" t="inlineStr">
        <is>
          <t>Partial</t>
        </is>
      </c>
      <c r="E1418">
        <f>VLOOKUP(C1418,CategoryMap,2,0)</f>
        <v/>
      </c>
      <c r="F1418">
        <f>VLOOKUP(D1418,CategoryMap,2,0)</f>
        <v/>
      </c>
      <c r="G1418">
        <f>ABS(E1418-F1418)</f>
        <v/>
      </c>
      <c r="H1418">
        <f>IF(G1418=0,"Yes","No")</f>
        <v/>
      </c>
      <c r="I1418" t="inlineStr">
        <is>
          <t>Partial</t>
        </is>
      </c>
      <c r="J1418">
        <f>IF(I1418="","",IF(AND(I1418=C1418,I1418=D1418),"Both",IF(I1418=C1418,"Opus",IF(I1418=D1418,"Sonnet","Neither"))))</f>
        <v/>
      </c>
    </row>
    <row r="1419">
      <c r="A1419" t="inlineStr">
        <is>
          <t>R386</t>
        </is>
      </c>
      <c r="B1419" t="inlineStr">
        <is>
          <t>Q2</t>
        </is>
      </c>
      <c r="C1419" t="inlineStr">
        <is>
          <t>Yes</t>
        </is>
      </c>
      <c r="D1419" t="inlineStr">
        <is>
          <t>Partial</t>
        </is>
      </c>
      <c r="E1419">
        <f>VLOOKUP(C1419,CategoryMap,2,0)</f>
        <v/>
      </c>
      <c r="F1419">
        <f>VLOOKUP(D1419,CategoryMap,2,0)</f>
        <v/>
      </c>
      <c r="G1419">
        <f>ABS(E1419-F1419)</f>
        <v/>
      </c>
      <c r="H1419">
        <f>IF(G1419=0,"Yes","No")</f>
        <v/>
      </c>
      <c r="I1419" t="inlineStr">
        <is>
          <t>Partial</t>
        </is>
      </c>
      <c r="J1419">
        <f>IF(I1419="","",IF(AND(I1419=C1419,I1419=D1419),"Both",IF(I1419=C1419,"Opus",IF(I1419=D1419,"Sonnet","Neither"))))</f>
        <v/>
      </c>
    </row>
    <row r="1420">
      <c r="A1420" t="inlineStr">
        <is>
          <t>R386</t>
        </is>
      </c>
      <c r="B1420" t="inlineStr">
        <is>
          <t>Q3</t>
        </is>
      </c>
      <c r="C1420" t="inlineStr">
        <is>
          <t>Yes</t>
        </is>
      </c>
      <c r="D1420" t="inlineStr">
        <is>
          <t>Yes</t>
        </is>
      </c>
      <c r="E1420">
        <f>VLOOKUP(C1420,CategoryMap,2,0)</f>
        <v/>
      </c>
      <c r="F1420">
        <f>VLOOKUP(D1420,CategoryMap,2,0)</f>
        <v/>
      </c>
      <c r="G1420">
        <f>ABS(E1420-F1420)</f>
        <v/>
      </c>
      <c r="H1420">
        <f>IF(G1420=0,"Yes","No")</f>
        <v/>
      </c>
      <c r="I1420" t="inlineStr">
        <is>
          <t>Yes</t>
        </is>
      </c>
      <c r="J1420">
        <f>IF(I1420="","",IF(AND(I1420=C1420,I1420=D1420),"Both",IF(I1420=C1420,"Opus",IF(I1420=D1420,"Sonnet","Neither"))))</f>
        <v/>
      </c>
    </row>
    <row r="1421">
      <c r="A1421" t="inlineStr">
        <is>
          <t>R386</t>
        </is>
      </c>
      <c r="B1421" t="inlineStr">
        <is>
          <t>Q4</t>
        </is>
      </c>
      <c r="C1421" t="inlineStr">
        <is>
          <t>Partial</t>
        </is>
      </c>
      <c r="D1421" t="inlineStr">
        <is>
          <t>Partial</t>
        </is>
      </c>
      <c r="E1421">
        <f>VLOOKUP(C1421,CategoryMap,2,0)</f>
        <v/>
      </c>
      <c r="F1421">
        <f>VLOOKUP(D1421,CategoryMap,2,0)</f>
        <v/>
      </c>
      <c r="G1421">
        <f>ABS(E1421-F1421)</f>
        <v/>
      </c>
      <c r="H1421">
        <f>IF(G1421=0,"Yes","No")</f>
        <v/>
      </c>
      <c r="I1421" t="inlineStr">
        <is>
          <t>Partial</t>
        </is>
      </c>
      <c r="J1421">
        <f>IF(I1421="","",IF(AND(I1421=C1421,I1421=D1421),"Both",IF(I1421=C1421,"Opus",IF(I1421=D1421,"Sonnet","Neither"))))</f>
        <v/>
      </c>
    </row>
    <row r="1422">
      <c r="A1422" t="inlineStr">
        <is>
          <t>R386</t>
        </is>
      </c>
      <c r="B1422" t="inlineStr">
        <is>
          <t>Q5</t>
        </is>
      </c>
      <c r="C1422" t="inlineStr">
        <is>
          <t>Yes</t>
        </is>
      </c>
      <c r="D1422" t="inlineStr">
        <is>
          <t>Yes</t>
        </is>
      </c>
      <c r="E1422">
        <f>VLOOKUP(C1422,CategoryMap,2,0)</f>
        <v/>
      </c>
      <c r="F1422">
        <f>VLOOKUP(D1422,CategoryMap,2,0)</f>
        <v/>
      </c>
      <c r="G1422">
        <f>ABS(E1422-F1422)</f>
        <v/>
      </c>
      <c r="H1422">
        <f>IF(G1422=0,"Yes","No")</f>
        <v/>
      </c>
      <c r="I1422" t="inlineStr">
        <is>
          <t>Yes</t>
        </is>
      </c>
      <c r="J1422">
        <f>IF(I1422="","",IF(AND(I1422=C1422,I1422=D1422),"Both",IF(I1422=C1422,"Opus",IF(I1422=D1422,"Sonnet","Neither"))))</f>
        <v/>
      </c>
    </row>
    <row r="1423">
      <c r="A1423" t="inlineStr">
        <is>
          <t>R386</t>
        </is>
      </c>
      <c r="B1423" t="inlineStr">
        <is>
          <t>Q6</t>
        </is>
      </c>
      <c r="C1423" t="inlineStr">
        <is>
          <t>Yes</t>
        </is>
      </c>
      <c r="D1423" t="inlineStr">
        <is>
          <t>Yes</t>
        </is>
      </c>
      <c r="E1423">
        <f>VLOOKUP(C1423,CategoryMap,2,0)</f>
        <v/>
      </c>
      <c r="F1423">
        <f>VLOOKUP(D1423,CategoryMap,2,0)</f>
        <v/>
      </c>
      <c r="G1423">
        <f>ABS(E1423-F1423)</f>
        <v/>
      </c>
      <c r="H1423">
        <f>IF(G1423=0,"Yes","No")</f>
        <v/>
      </c>
      <c r="I1423" t="inlineStr">
        <is>
          <t>Yes</t>
        </is>
      </c>
      <c r="J1423">
        <f>IF(I1423="","",IF(AND(I1423=C1423,I1423=D1423),"Both",IF(I1423=C1423,"Opus",IF(I1423=D1423,"Sonnet","Neither"))))</f>
        <v/>
      </c>
    </row>
    <row r="1424">
      <c r="A1424" t="inlineStr">
        <is>
          <t>R386</t>
        </is>
      </c>
      <c r="B1424" t="inlineStr">
        <is>
          <t>Q7</t>
        </is>
      </c>
      <c r="C1424" t="inlineStr">
        <is>
          <t>Yes</t>
        </is>
      </c>
      <c r="D1424" t="inlineStr">
        <is>
          <t>Yes</t>
        </is>
      </c>
      <c r="E1424">
        <f>VLOOKUP(C1424,CategoryMap,2,0)</f>
        <v/>
      </c>
      <c r="F1424">
        <f>VLOOKUP(D1424,CategoryMap,2,0)</f>
        <v/>
      </c>
      <c r="G1424">
        <f>ABS(E1424-F1424)</f>
        <v/>
      </c>
      <c r="H1424">
        <f>IF(G1424=0,"Yes","No")</f>
        <v/>
      </c>
      <c r="I1424" t="inlineStr">
        <is>
          <t>Yes</t>
        </is>
      </c>
      <c r="J1424">
        <f>IF(I1424="","",IF(AND(I1424=C1424,I1424=D1424),"Both",IF(I1424=C1424,"Opus",IF(I1424=D1424,"Sonnet","Neither"))))</f>
        <v/>
      </c>
    </row>
    <row r="1425">
      <c r="A1425" t="inlineStr">
        <is>
          <t>R386</t>
        </is>
      </c>
      <c r="B1425" t="inlineStr">
        <is>
          <t>Q8</t>
        </is>
      </c>
      <c r="C1425" t="inlineStr">
        <is>
          <t>Partial</t>
        </is>
      </c>
      <c r="D1425" t="inlineStr">
        <is>
          <t>Partial</t>
        </is>
      </c>
      <c r="E1425">
        <f>VLOOKUP(C1425,CategoryMap,2,0)</f>
        <v/>
      </c>
      <c r="F1425">
        <f>VLOOKUP(D1425,CategoryMap,2,0)</f>
        <v/>
      </c>
      <c r="G1425">
        <f>ABS(E1425-F1425)</f>
        <v/>
      </c>
      <c r="H1425">
        <f>IF(G1425=0,"Yes","No")</f>
        <v/>
      </c>
      <c r="I1425" t="inlineStr">
        <is>
          <t>Partial</t>
        </is>
      </c>
      <c r="J1425">
        <f>IF(I1425="","",IF(AND(I1425=C1425,I1425=D1425),"Both",IF(I1425=C1425,"Opus",IF(I1425=D1425,"Sonnet","Neither"))))</f>
        <v/>
      </c>
    </row>
    <row r="1426">
      <c r="A1426" t="inlineStr">
        <is>
          <t>R387</t>
        </is>
      </c>
      <c r="B1426" t="inlineStr">
        <is>
          <t>Q1</t>
        </is>
      </c>
      <c r="C1426" t="inlineStr">
        <is>
          <t>Partial</t>
        </is>
      </c>
      <c r="D1426" t="inlineStr">
        <is>
          <t>Partial</t>
        </is>
      </c>
      <c r="E1426">
        <f>VLOOKUP(C1426,CategoryMap,2,0)</f>
        <v/>
      </c>
      <c r="F1426">
        <f>VLOOKUP(D1426,CategoryMap,2,0)</f>
        <v/>
      </c>
      <c r="G1426">
        <f>ABS(E1426-F1426)</f>
        <v/>
      </c>
      <c r="H1426">
        <f>IF(G1426=0,"Yes","No")</f>
        <v/>
      </c>
      <c r="I1426" t="inlineStr">
        <is>
          <t>Partial</t>
        </is>
      </c>
      <c r="J1426">
        <f>IF(I1426="","",IF(AND(I1426=C1426,I1426=D1426),"Both",IF(I1426=C1426,"Opus",IF(I1426=D1426,"Sonnet","Neither"))))</f>
        <v/>
      </c>
    </row>
    <row r="1427">
      <c r="A1427" t="inlineStr">
        <is>
          <t>R387</t>
        </is>
      </c>
      <c r="B1427" t="inlineStr">
        <is>
          <t>Q2</t>
        </is>
      </c>
      <c r="C1427" t="inlineStr">
        <is>
          <t>Partial</t>
        </is>
      </c>
      <c r="D1427" t="inlineStr">
        <is>
          <t>Partial</t>
        </is>
      </c>
      <c r="E1427">
        <f>VLOOKUP(C1427,CategoryMap,2,0)</f>
        <v/>
      </c>
      <c r="F1427">
        <f>VLOOKUP(D1427,CategoryMap,2,0)</f>
        <v/>
      </c>
      <c r="G1427">
        <f>ABS(E1427-F1427)</f>
        <v/>
      </c>
      <c r="H1427">
        <f>IF(G1427=0,"Yes","No")</f>
        <v/>
      </c>
      <c r="I1427" t="inlineStr">
        <is>
          <t>Partial</t>
        </is>
      </c>
      <c r="J1427">
        <f>IF(I1427="","",IF(AND(I1427=C1427,I1427=D1427),"Both",IF(I1427=C1427,"Opus",IF(I1427=D1427,"Sonnet","Neither"))))</f>
        <v/>
      </c>
    </row>
    <row r="1428">
      <c r="A1428" t="inlineStr">
        <is>
          <t>R387</t>
        </is>
      </c>
      <c r="B1428" t="inlineStr">
        <is>
          <t>Q3</t>
        </is>
      </c>
      <c r="C1428" t="inlineStr">
        <is>
          <t>Yes</t>
        </is>
      </c>
      <c r="D1428" t="inlineStr">
        <is>
          <t>Partial</t>
        </is>
      </c>
      <c r="E1428">
        <f>VLOOKUP(C1428,CategoryMap,2,0)</f>
        <v/>
      </c>
      <c r="F1428">
        <f>VLOOKUP(D1428,CategoryMap,2,0)</f>
        <v/>
      </c>
      <c r="G1428">
        <f>ABS(E1428-F1428)</f>
        <v/>
      </c>
      <c r="H1428">
        <f>IF(G1428=0,"Yes","No")</f>
        <v/>
      </c>
      <c r="I1428" t="inlineStr">
        <is>
          <t>Partial</t>
        </is>
      </c>
      <c r="J1428">
        <f>IF(I1428="","",IF(AND(I1428=C1428,I1428=D1428),"Both",IF(I1428=C1428,"Opus",IF(I1428=D1428,"Sonnet","Neither"))))</f>
        <v/>
      </c>
    </row>
    <row r="1429">
      <c r="A1429" t="inlineStr">
        <is>
          <t>R387</t>
        </is>
      </c>
      <c r="B1429" t="inlineStr">
        <is>
          <t>Q4</t>
        </is>
      </c>
      <c r="C1429" t="inlineStr">
        <is>
          <t>Partial</t>
        </is>
      </c>
      <c r="D1429" t="inlineStr">
        <is>
          <t>Partial</t>
        </is>
      </c>
      <c r="E1429">
        <f>VLOOKUP(C1429,CategoryMap,2,0)</f>
        <v/>
      </c>
      <c r="F1429">
        <f>VLOOKUP(D1429,CategoryMap,2,0)</f>
        <v/>
      </c>
      <c r="G1429">
        <f>ABS(E1429-F1429)</f>
        <v/>
      </c>
      <c r="H1429">
        <f>IF(G1429=0,"Yes","No")</f>
        <v/>
      </c>
      <c r="I1429" t="inlineStr">
        <is>
          <t>Partial</t>
        </is>
      </c>
      <c r="J1429">
        <f>IF(I1429="","",IF(AND(I1429=C1429,I1429=D1429),"Both",IF(I1429=C1429,"Opus",IF(I1429=D1429,"Sonnet","Neither"))))</f>
        <v/>
      </c>
    </row>
    <row r="1430">
      <c r="A1430" t="inlineStr">
        <is>
          <t>R387</t>
        </is>
      </c>
      <c r="B1430" t="inlineStr">
        <is>
          <t>Q5</t>
        </is>
      </c>
      <c r="C1430" t="inlineStr">
        <is>
          <t>Yes</t>
        </is>
      </c>
      <c r="D1430" t="inlineStr">
        <is>
          <t>Yes</t>
        </is>
      </c>
      <c r="E1430">
        <f>VLOOKUP(C1430,CategoryMap,2,0)</f>
        <v/>
      </c>
      <c r="F1430">
        <f>VLOOKUP(D1430,CategoryMap,2,0)</f>
        <v/>
      </c>
      <c r="G1430">
        <f>ABS(E1430-F1430)</f>
        <v/>
      </c>
      <c r="H1430">
        <f>IF(G1430=0,"Yes","No")</f>
        <v/>
      </c>
      <c r="I1430" t="inlineStr">
        <is>
          <t>Yes</t>
        </is>
      </c>
      <c r="J1430">
        <f>IF(I1430="","",IF(AND(I1430=C1430,I1430=D1430),"Both",IF(I1430=C1430,"Opus",IF(I1430=D1430,"Sonnet","Neither"))))</f>
        <v/>
      </c>
    </row>
    <row r="1431">
      <c r="A1431" t="inlineStr">
        <is>
          <t>R387</t>
        </is>
      </c>
      <c r="B1431" t="inlineStr">
        <is>
          <t>Q6</t>
        </is>
      </c>
      <c r="C1431" t="inlineStr">
        <is>
          <t>Yes</t>
        </is>
      </c>
      <c r="D1431" t="inlineStr">
        <is>
          <t>Yes</t>
        </is>
      </c>
      <c r="E1431">
        <f>VLOOKUP(C1431,CategoryMap,2,0)</f>
        <v/>
      </c>
      <c r="F1431">
        <f>VLOOKUP(D1431,CategoryMap,2,0)</f>
        <v/>
      </c>
      <c r="G1431">
        <f>ABS(E1431-F1431)</f>
        <v/>
      </c>
      <c r="H1431">
        <f>IF(G1431=0,"Yes","No")</f>
        <v/>
      </c>
      <c r="I1431" t="inlineStr">
        <is>
          <t>Yes</t>
        </is>
      </c>
      <c r="J1431">
        <f>IF(I1431="","",IF(AND(I1431=C1431,I1431=D1431),"Both",IF(I1431=C1431,"Opus",IF(I1431=D1431,"Sonnet","Neither"))))</f>
        <v/>
      </c>
    </row>
    <row r="1432">
      <c r="A1432" t="inlineStr">
        <is>
          <t>R387</t>
        </is>
      </c>
      <c r="B1432" t="inlineStr">
        <is>
          <t>Q7</t>
        </is>
      </c>
      <c r="C1432" t="inlineStr">
        <is>
          <t>Yes</t>
        </is>
      </c>
      <c r="D1432" t="inlineStr">
        <is>
          <t>Yes</t>
        </is>
      </c>
      <c r="E1432">
        <f>VLOOKUP(C1432,CategoryMap,2,0)</f>
        <v/>
      </c>
      <c r="F1432">
        <f>VLOOKUP(D1432,CategoryMap,2,0)</f>
        <v/>
      </c>
      <c r="G1432">
        <f>ABS(E1432-F1432)</f>
        <v/>
      </c>
      <c r="H1432">
        <f>IF(G1432=0,"Yes","No")</f>
        <v/>
      </c>
      <c r="I1432" t="inlineStr">
        <is>
          <t>Yes</t>
        </is>
      </c>
      <c r="J1432">
        <f>IF(I1432="","",IF(AND(I1432=C1432,I1432=D1432),"Both",IF(I1432=C1432,"Opus",IF(I1432=D1432,"Sonnet","Neither"))))</f>
        <v/>
      </c>
    </row>
    <row r="1433">
      <c r="A1433" t="inlineStr">
        <is>
          <t>R387</t>
        </is>
      </c>
      <c r="B1433" t="inlineStr">
        <is>
          <t>Q8</t>
        </is>
      </c>
      <c r="C1433" t="inlineStr">
        <is>
          <t>Partial</t>
        </is>
      </c>
      <c r="D1433" t="inlineStr">
        <is>
          <t>No</t>
        </is>
      </c>
      <c r="E1433">
        <f>VLOOKUP(C1433,CategoryMap,2,0)</f>
        <v/>
      </c>
      <c r="F1433">
        <f>VLOOKUP(D1433,CategoryMap,2,0)</f>
        <v/>
      </c>
      <c r="G1433">
        <f>ABS(E1433-F1433)</f>
        <v/>
      </c>
      <c r="H1433">
        <f>IF(G1433=0,"Yes","No")</f>
        <v/>
      </c>
      <c r="I1433" t="inlineStr">
        <is>
          <t>Partial</t>
        </is>
      </c>
      <c r="J1433">
        <f>IF(I1433="","",IF(AND(I1433=C1433,I1433=D1433),"Both",IF(I1433=C1433,"Opus",IF(I1433=D1433,"Sonnet","Neither"))))</f>
        <v/>
      </c>
    </row>
    <row r="1434">
      <c r="A1434" t="inlineStr">
        <is>
          <t>R389</t>
        </is>
      </c>
      <c r="B1434" t="inlineStr">
        <is>
          <t>Q1</t>
        </is>
      </c>
      <c r="C1434" t="inlineStr">
        <is>
          <t>Partial</t>
        </is>
      </c>
      <c r="D1434" t="inlineStr">
        <is>
          <t>No</t>
        </is>
      </c>
      <c r="E1434">
        <f>VLOOKUP(C1434,CategoryMap,2,0)</f>
        <v/>
      </c>
      <c r="F1434">
        <f>VLOOKUP(D1434,CategoryMap,2,0)</f>
        <v/>
      </c>
      <c r="G1434">
        <f>ABS(E1434-F1434)</f>
        <v/>
      </c>
      <c r="H1434">
        <f>IF(G1434=0,"Yes","No")</f>
        <v/>
      </c>
      <c r="I1434" t="inlineStr">
        <is>
          <t>No</t>
        </is>
      </c>
      <c r="J1434">
        <f>IF(I1434="","",IF(AND(I1434=C1434,I1434=D1434),"Both",IF(I1434=C1434,"Opus",IF(I1434=D1434,"Sonnet","Neither"))))</f>
        <v/>
      </c>
    </row>
    <row r="1435">
      <c r="A1435" t="inlineStr">
        <is>
          <t>R389</t>
        </is>
      </c>
      <c r="B1435" t="inlineStr">
        <is>
          <t>Q2</t>
        </is>
      </c>
      <c r="C1435" t="inlineStr">
        <is>
          <t>Partial</t>
        </is>
      </c>
      <c r="D1435" t="inlineStr">
        <is>
          <t>Partial</t>
        </is>
      </c>
      <c r="E1435">
        <f>VLOOKUP(C1435,CategoryMap,2,0)</f>
        <v/>
      </c>
      <c r="F1435">
        <f>VLOOKUP(D1435,CategoryMap,2,0)</f>
        <v/>
      </c>
      <c r="G1435">
        <f>ABS(E1435-F1435)</f>
        <v/>
      </c>
      <c r="H1435">
        <f>IF(G1435=0,"Yes","No")</f>
        <v/>
      </c>
      <c r="I1435" t="inlineStr">
        <is>
          <t>Partial</t>
        </is>
      </c>
      <c r="J1435">
        <f>IF(I1435="","",IF(AND(I1435=C1435,I1435=D1435),"Both",IF(I1435=C1435,"Opus",IF(I1435=D1435,"Sonnet","Neither"))))</f>
        <v/>
      </c>
    </row>
    <row r="1436">
      <c r="A1436" t="inlineStr">
        <is>
          <t>R389</t>
        </is>
      </c>
      <c r="B1436" t="inlineStr">
        <is>
          <t>Q3</t>
        </is>
      </c>
      <c r="C1436" t="inlineStr">
        <is>
          <t>Partial</t>
        </is>
      </c>
      <c r="D1436" t="inlineStr">
        <is>
          <t>Partial</t>
        </is>
      </c>
      <c r="E1436">
        <f>VLOOKUP(C1436,CategoryMap,2,0)</f>
        <v/>
      </c>
      <c r="F1436">
        <f>VLOOKUP(D1436,CategoryMap,2,0)</f>
        <v/>
      </c>
      <c r="G1436">
        <f>ABS(E1436-F1436)</f>
        <v/>
      </c>
      <c r="H1436">
        <f>IF(G1436=0,"Yes","No")</f>
        <v/>
      </c>
      <c r="I1436" t="inlineStr">
        <is>
          <t>Partial</t>
        </is>
      </c>
      <c r="J1436">
        <f>IF(I1436="","",IF(AND(I1436=C1436,I1436=D1436),"Both",IF(I1436=C1436,"Opus",IF(I1436=D1436,"Sonnet","Neither"))))</f>
        <v/>
      </c>
    </row>
    <row r="1437">
      <c r="A1437" t="inlineStr">
        <is>
          <t>R389</t>
        </is>
      </c>
      <c r="B1437" t="inlineStr">
        <is>
          <t>Q4</t>
        </is>
      </c>
      <c r="C1437" t="inlineStr">
        <is>
          <t>Partial</t>
        </is>
      </c>
      <c r="D1437" t="inlineStr">
        <is>
          <t>Partial</t>
        </is>
      </c>
      <c r="E1437">
        <f>VLOOKUP(C1437,CategoryMap,2,0)</f>
        <v/>
      </c>
      <c r="F1437">
        <f>VLOOKUP(D1437,CategoryMap,2,0)</f>
        <v/>
      </c>
      <c r="G1437">
        <f>ABS(E1437-F1437)</f>
        <v/>
      </c>
      <c r="H1437">
        <f>IF(G1437=0,"Yes","No")</f>
        <v/>
      </c>
      <c r="I1437" t="inlineStr">
        <is>
          <t>Partial</t>
        </is>
      </c>
      <c r="J1437">
        <f>IF(I1437="","",IF(AND(I1437=C1437,I1437=D1437),"Both",IF(I1437=C1437,"Opus",IF(I1437=D1437,"Sonnet","Neither"))))</f>
        <v/>
      </c>
    </row>
    <row r="1438">
      <c r="A1438" t="inlineStr">
        <is>
          <t>R389</t>
        </is>
      </c>
      <c r="B1438" t="inlineStr">
        <is>
          <t>Q5</t>
        </is>
      </c>
      <c r="C1438" t="inlineStr">
        <is>
          <t>Yes</t>
        </is>
      </c>
      <c r="D1438" t="inlineStr">
        <is>
          <t>Yes</t>
        </is>
      </c>
      <c r="E1438">
        <f>VLOOKUP(C1438,CategoryMap,2,0)</f>
        <v/>
      </c>
      <c r="F1438">
        <f>VLOOKUP(D1438,CategoryMap,2,0)</f>
        <v/>
      </c>
      <c r="G1438">
        <f>ABS(E1438-F1438)</f>
        <v/>
      </c>
      <c r="H1438">
        <f>IF(G1438=0,"Yes","No")</f>
        <v/>
      </c>
      <c r="I1438" t="inlineStr">
        <is>
          <t>Yes</t>
        </is>
      </c>
      <c r="J1438">
        <f>IF(I1438="","",IF(AND(I1438=C1438,I1438=D1438),"Both",IF(I1438=C1438,"Opus",IF(I1438=D1438,"Sonnet","Neither"))))</f>
        <v/>
      </c>
    </row>
    <row r="1439">
      <c r="A1439" t="inlineStr">
        <is>
          <t>R389</t>
        </is>
      </c>
      <c r="B1439" t="inlineStr">
        <is>
          <t>Q6</t>
        </is>
      </c>
      <c r="C1439" t="inlineStr">
        <is>
          <t>Yes</t>
        </is>
      </c>
      <c r="D1439" t="inlineStr">
        <is>
          <t>Yes</t>
        </is>
      </c>
      <c r="E1439">
        <f>VLOOKUP(C1439,CategoryMap,2,0)</f>
        <v/>
      </c>
      <c r="F1439">
        <f>VLOOKUP(D1439,CategoryMap,2,0)</f>
        <v/>
      </c>
      <c r="G1439">
        <f>ABS(E1439-F1439)</f>
        <v/>
      </c>
      <c r="H1439">
        <f>IF(G1439=0,"Yes","No")</f>
        <v/>
      </c>
      <c r="I1439" t="inlineStr">
        <is>
          <t>Yes</t>
        </is>
      </c>
      <c r="J1439">
        <f>IF(I1439="","",IF(AND(I1439=C1439,I1439=D1439),"Both",IF(I1439=C1439,"Opus",IF(I1439=D1439,"Sonnet","Neither"))))</f>
        <v/>
      </c>
    </row>
    <row r="1440">
      <c r="A1440" t="inlineStr">
        <is>
          <t>R389</t>
        </is>
      </c>
      <c r="B1440" t="inlineStr">
        <is>
          <t>Q7</t>
        </is>
      </c>
      <c r="C1440" t="inlineStr">
        <is>
          <t>Yes</t>
        </is>
      </c>
      <c r="D1440" t="inlineStr">
        <is>
          <t>Yes</t>
        </is>
      </c>
      <c r="E1440">
        <f>VLOOKUP(C1440,CategoryMap,2,0)</f>
        <v/>
      </c>
      <c r="F1440">
        <f>VLOOKUP(D1440,CategoryMap,2,0)</f>
        <v/>
      </c>
      <c r="G1440">
        <f>ABS(E1440-F1440)</f>
        <v/>
      </c>
      <c r="H1440">
        <f>IF(G1440=0,"Yes","No")</f>
        <v/>
      </c>
      <c r="I1440" t="inlineStr">
        <is>
          <t>Yes</t>
        </is>
      </c>
      <c r="J1440">
        <f>IF(I1440="","",IF(AND(I1440=C1440,I1440=D1440),"Both",IF(I1440=C1440,"Opus",IF(I1440=D1440,"Sonnet","Neither"))))</f>
        <v/>
      </c>
    </row>
    <row r="1441">
      <c r="A1441" t="inlineStr">
        <is>
          <t>R389</t>
        </is>
      </c>
      <c r="B1441" t="inlineStr">
        <is>
          <t>Q8</t>
        </is>
      </c>
      <c r="C1441" t="inlineStr">
        <is>
          <t>Partial</t>
        </is>
      </c>
      <c r="D1441" t="inlineStr">
        <is>
          <t>No</t>
        </is>
      </c>
      <c r="E1441">
        <f>VLOOKUP(C1441,CategoryMap,2,0)</f>
        <v/>
      </c>
      <c r="F1441">
        <f>VLOOKUP(D1441,CategoryMap,2,0)</f>
        <v/>
      </c>
      <c r="G1441">
        <f>ABS(E1441-F1441)</f>
        <v/>
      </c>
      <c r="H1441">
        <f>IF(G1441=0,"Yes","No")</f>
        <v/>
      </c>
      <c r="I1441" t="inlineStr">
        <is>
          <t>No</t>
        </is>
      </c>
      <c r="J1441">
        <f>IF(I1441="","",IF(AND(I1441=C1441,I1441=D1441),"Both",IF(I1441=C1441,"Opus",IF(I1441=D1441,"Sonnet","Neither"))))</f>
        <v/>
      </c>
    </row>
    <row r="1442">
      <c r="A1442" t="inlineStr">
        <is>
          <t>R392</t>
        </is>
      </c>
      <c r="B1442" t="inlineStr">
        <is>
          <t>Q1</t>
        </is>
      </c>
      <c r="C1442" t="inlineStr">
        <is>
          <t>No</t>
        </is>
      </c>
      <c r="D1442" t="inlineStr">
        <is>
          <t>No</t>
        </is>
      </c>
      <c r="E1442">
        <f>VLOOKUP(C1442,CategoryMap,2,0)</f>
        <v/>
      </c>
      <c r="F1442">
        <f>VLOOKUP(D1442,CategoryMap,2,0)</f>
        <v/>
      </c>
      <c r="G1442">
        <f>ABS(E1442-F1442)</f>
        <v/>
      </c>
      <c r="H1442">
        <f>IF(G1442=0,"Yes","No")</f>
        <v/>
      </c>
      <c r="I1442" t="inlineStr">
        <is>
          <t>No</t>
        </is>
      </c>
      <c r="J1442">
        <f>IF(I1442="","",IF(AND(I1442=C1442,I1442=D1442),"Both",IF(I1442=C1442,"Opus",IF(I1442=D1442,"Sonnet","Neither"))))</f>
        <v/>
      </c>
    </row>
    <row r="1443">
      <c r="A1443" t="inlineStr">
        <is>
          <t>R392</t>
        </is>
      </c>
      <c r="B1443" t="inlineStr">
        <is>
          <t>Q2</t>
        </is>
      </c>
      <c r="C1443" t="inlineStr">
        <is>
          <t>Partial</t>
        </is>
      </c>
      <c r="D1443" t="inlineStr">
        <is>
          <t>No</t>
        </is>
      </c>
      <c r="E1443">
        <f>VLOOKUP(C1443,CategoryMap,2,0)</f>
        <v/>
      </c>
      <c r="F1443">
        <f>VLOOKUP(D1443,CategoryMap,2,0)</f>
        <v/>
      </c>
      <c r="G1443">
        <f>ABS(E1443-F1443)</f>
        <v/>
      </c>
      <c r="H1443">
        <f>IF(G1443=0,"Yes","No")</f>
        <v/>
      </c>
      <c r="I1443" t="inlineStr">
        <is>
          <t>No</t>
        </is>
      </c>
      <c r="J1443">
        <f>IF(I1443="","",IF(AND(I1443=C1443,I1443=D1443),"Both",IF(I1443=C1443,"Opus",IF(I1443=D1443,"Sonnet","Neither"))))</f>
        <v/>
      </c>
    </row>
    <row r="1444">
      <c r="A1444" t="inlineStr">
        <is>
          <t>R392</t>
        </is>
      </c>
      <c r="B1444" t="inlineStr">
        <is>
          <t>Q3</t>
        </is>
      </c>
      <c r="C1444" t="inlineStr">
        <is>
          <t>Partial</t>
        </is>
      </c>
      <c r="D1444" t="inlineStr">
        <is>
          <t>No</t>
        </is>
      </c>
      <c r="E1444">
        <f>VLOOKUP(C1444,CategoryMap,2,0)</f>
        <v/>
      </c>
      <c r="F1444">
        <f>VLOOKUP(D1444,CategoryMap,2,0)</f>
        <v/>
      </c>
      <c r="G1444">
        <f>ABS(E1444-F1444)</f>
        <v/>
      </c>
      <c r="H1444">
        <f>IF(G1444=0,"Yes","No")</f>
        <v/>
      </c>
      <c r="I1444" t="inlineStr">
        <is>
          <t>No</t>
        </is>
      </c>
      <c r="J1444">
        <f>IF(I1444="","",IF(AND(I1444=C1444,I1444=D1444),"Both",IF(I1444=C1444,"Opus",IF(I1444=D1444,"Sonnet","Neither"))))</f>
        <v/>
      </c>
    </row>
    <row r="1445">
      <c r="A1445" t="inlineStr">
        <is>
          <t>R392</t>
        </is>
      </c>
      <c r="B1445" t="inlineStr">
        <is>
          <t>Q4</t>
        </is>
      </c>
      <c r="C1445" t="inlineStr">
        <is>
          <t>No</t>
        </is>
      </c>
      <c r="D1445" t="inlineStr">
        <is>
          <t>No</t>
        </is>
      </c>
      <c r="E1445">
        <f>VLOOKUP(C1445,CategoryMap,2,0)</f>
        <v/>
      </c>
      <c r="F1445">
        <f>VLOOKUP(D1445,CategoryMap,2,0)</f>
        <v/>
      </c>
      <c r="G1445">
        <f>ABS(E1445-F1445)</f>
        <v/>
      </c>
      <c r="H1445">
        <f>IF(G1445=0,"Yes","No")</f>
        <v/>
      </c>
      <c r="I1445" t="inlineStr">
        <is>
          <t>No</t>
        </is>
      </c>
      <c r="J1445">
        <f>IF(I1445="","",IF(AND(I1445=C1445,I1445=D1445),"Both",IF(I1445=C1445,"Opus",IF(I1445=D1445,"Sonnet","Neither"))))</f>
        <v/>
      </c>
    </row>
    <row r="1446">
      <c r="A1446" t="inlineStr">
        <is>
          <t>R392</t>
        </is>
      </c>
      <c r="B1446" t="inlineStr">
        <is>
          <t>Q5</t>
        </is>
      </c>
      <c r="C1446" t="inlineStr">
        <is>
          <t>No</t>
        </is>
      </c>
      <c r="D1446" t="inlineStr">
        <is>
          <t>No</t>
        </is>
      </c>
      <c r="E1446">
        <f>VLOOKUP(C1446,CategoryMap,2,0)</f>
        <v/>
      </c>
      <c r="F1446">
        <f>VLOOKUP(D1446,CategoryMap,2,0)</f>
        <v/>
      </c>
      <c r="G1446">
        <f>ABS(E1446-F1446)</f>
        <v/>
      </c>
      <c r="H1446">
        <f>IF(G1446=0,"Yes","No")</f>
        <v/>
      </c>
      <c r="I1446" t="inlineStr">
        <is>
          <t>No</t>
        </is>
      </c>
      <c r="J1446">
        <f>IF(I1446="","",IF(AND(I1446=C1446,I1446=D1446),"Both",IF(I1446=C1446,"Opus",IF(I1446=D1446,"Sonnet","Neither"))))</f>
        <v/>
      </c>
    </row>
    <row r="1447">
      <c r="A1447" t="inlineStr">
        <is>
          <t>R392</t>
        </is>
      </c>
      <c r="B1447" t="inlineStr">
        <is>
          <t>Q6</t>
        </is>
      </c>
      <c r="C1447" t="inlineStr">
        <is>
          <t>No</t>
        </is>
      </c>
      <c r="D1447" t="inlineStr">
        <is>
          <t>No</t>
        </is>
      </c>
      <c r="E1447">
        <f>VLOOKUP(C1447,CategoryMap,2,0)</f>
        <v/>
      </c>
      <c r="F1447">
        <f>VLOOKUP(D1447,CategoryMap,2,0)</f>
        <v/>
      </c>
      <c r="G1447">
        <f>ABS(E1447-F1447)</f>
        <v/>
      </c>
      <c r="H1447">
        <f>IF(G1447=0,"Yes","No")</f>
        <v/>
      </c>
      <c r="I1447" t="inlineStr">
        <is>
          <t>No</t>
        </is>
      </c>
      <c r="J1447">
        <f>IF(I1447="","",IF(AND(I1447=C1447,I1447=D1447),"Both",IF(I1447=C1447,"Opus",IF(I1447=D1447,"Sonnet","Neither"))))</f>
        <v/>
      </c>
    </row>
    <row r="1448">
      <c r="A1448" t="inlineStr">
        <is>
          <t>R392</t>
        </is>
      </c>
      <c r="B1448" t="inlineStr">
        <is>
          <t>Q7</t>
        </is>
      </c>
      <c r="C1448" t="inlineStr">
        <is>
          <t>Partial</t>
        </is>
      </c>
      <c r="D1448" t="inlineStr">
        <is>
          <t>No</t>
        </is>
      </c>
      <c r="E1448">
        <f>VLOOKUP(C1448,CategoryMap,2,0)</f>
        <v/>
      </c>
      <c r="F1448">
        <f>VLOOKUP(D1448,CategoryMap,2,0)</f>
        <v/>
      </c>
      <c r="G1448">
        <f>ABS(E1448-F1448)</f>
        <v/>
      </c>
      <c r="H1448">
        <f>IF(G1448=0,"Yes","No")</f>
        <v/>
      </c>
      <c r="I1448" t="inlineStr">
        <is>
          <t>No</t>
        </is>
      </c>
      <c r="J1448">
        <f>IF(I1448="","",IF(AND(I1448=C1448,I1448=D1448),"Both",IF(I1448=C1448,"Opus",IF(I1448=D1448,"Sonnet","Neither"))))</f>
        <v/>
      </c>
    </row>
    <row r="1449">
      <c r="A1449" t="inlineStr">
        <is>
          <t>R392</t>
        </is>
      </c>
      <c r="B1449" t="inlineStr">
        <is>
          <t>Q8</t>
        </is>
      </c>
      <c r="C1449" t="inlineStr">
        <is>
          <t>No</t>
        </is>
      </c>
      <c r="D1449" t="inlineStr">
        <is>
          <t>No</t>
        </is>
      </c>
      <c r="E1449">
        <f>VLOOKUP(C1449,CategoryMap,2,0)</f>
        <v/>
      </c>
      <c r="F1449">
        <f>VLOOKUP(D1449,CategoryMap,2,0)</f>
        <v/>
      </c>
      <c r="G1449">
        <f>ABS(E1449-F1449)</f>
        <v/>
      </c>
      <c r="H1449">
        <f>IF(G1449=0,"Yes","No")</f>
        <v/>
      </c>
      <c r="I1449" t="inlineStr">
        <is>
          <t>No</t>
        </is>
      </c>
      <c r="J1449">
        <f>IF(I1449="","",IF(AND(I1449=C1449,I1449=D1449),"Both",IF(I1449=C1449,"Opus",IF(I1449=D1449,"Sonnet","Neither"))))</f>
        <v/>
      </c>
    </row>
    <row r="1450">
      <c r="A1450" t="inlineStr">
        <is>
          <t>R394</t>
        </is>
      </c>
      <c r="B1450" t="inlineStr">
        <is>
          <t>Q1</t>
        </is>
      </c>
      <c r="C1450" t="inlineStr">
        <is>
          <t>Partial</t>
        </is>
      </c>
      <c r="D1450" t="inlineStr">
        <is>
          <t>No</t>
        </is>
      </c>
      <c r="E1450">
        <f>VLOOKUP(C1450,CategoryMap,2,0)</f>
        <v/>
      </c>
      <c r="F1450">
        <f>VLOOKUP(D1450,CategoryMap,2,0)</f>
        <v/>
      </c>
      <c r="G1450">
        <f>ABS(E1450-F1450)</f>
        <v/>
      </c>
      <c r="H1450">
        <f>IF(G1450=0,"Yes","No")</f>
        <v/>
      </c>
      <c r="I1450" t="inlineStr">
        <is>
          <t>Partial</t>
        </is>
      </c>
      <c r="J1450">
        <f>IF(I1450="","",IF(AND(I1450=C1450,I1450=D1450),"Both",IF(I1450=C1450,"Opus",IF(I1450=D1450,"Sonnet","Neither"))))</f>
        <v/>
      </c>
    </row>
    <row r="1451">
      <c r="A1451" t="inlineStr">
        <is>
          <t>R394</t>
        </is>
      </c>
      <c r="B1451" t="inlineStr">
        <is>
          <t>Q2</t>
        </is>
      </c>
      <c r="C1451" t="inlineStr">
        <is>
          <t>Partial</t>
        </is>
      </c>
      <c r="D1451" t="inlineStr">
        <is>
          <t>Partial</t>
        </is>
      </c>
      <c r="E1451">
        <f>VLOOKUP(C1451,CategoryMap,2,0)</f>
        <v/>
      </c>
      <c r="F1451">
        <f>VLOOKUP(D1451,CategoryMap,2,0)</f>
        <v/>
      </c>
      <c r="G1451">
        <f>ABS(E1451-F1451)</f>
        <v/>
      </c>
      <c r="H1451">
        <f>IF(G1451=0,"Yes","No")</f>
        <v/>
      </c>
      <c r="I1451" t="inlineStr">
        <is>
          <t>Partial</t>
        </is>
      </c>
      <c r="J1451">
        <f>IF(I1451="","",IF(AND(I1451=C1451,I1451=D1451),"Both",IF(I1451=C1451,"Opus",IF(I1451=D1451,"Sonnet","Neither"))))</f>
        <v/>
      </c>
    </row>
    <row r="1452">
      <c r="A1452" t="inlineStr">
        <is>
          <t>R394</t>
        </is>
      </c>
      <c r="B1452" t="inlineStr">
        <is>
          <t>Q3</t>
        </is>
      </c>
      <c r="C1452" t="inlineStr">
        <is>
          <t>Partial</t>
        </is>
      </c>
      <c r="D1452" t="inlineStr">
        <is>
          <t>Partial</t>
        </is>
      </c>
      <c r="E1452">
        <f>VLOOKUP(C1452,CategoryMap,2,0)</f>
        <v/>
      </c>
      <c r="F1452">
        <f>VLOOKUP(D1452,CategoryMap,2,0)</f>
        <v/>
      </c>
      <c r="G1452">
        <f>ABS(E1452-F1452)</f>
        <v/>
      </c>
      <c r="H1452">
        <f>IF(G1452=0,"Yes","No")</f>
        <v/>
      </c>
      <c r="I1452" t="inlineStr">
        <is>
          <t>Partial</t>
        </is>
      </c>
      <c r="J1452">
        <f>IF(I1452="","",IF(AND(I1452=C1452,I1452=D1452),"Both",IF(I1452=C1452,"Opus",IF(I1452=D1452,"Sonnet","Neither"))))</f>
        <v/>
      </c>
    </row>
    <row r="1453">
      <c r="A1453" t="inlineStr">
        <is>
          <t>R394</t>
        </is>
      </c>
      <c r="B1453" t="inlineStr">
        <is>
          <t>Q4</t>
        </is>
      </c>
      <c r="C1453" t="inlineStr">
        <is>
          <t>Partial</t>
        </is>
      </c>
      <c r="D1453" t="inlineStr">
        <is>
          <t>Yes</t>
        </is>
      </c>
      <c r="E1453">
        <f>VLOOKUP(C1453,CategoryMap,2,0)</f>
        <v/>
      </c>
      <c r="F1453">
        <f>VLOOKUP(D1453,CategoryMap,2,0)</f>
        <v/>
      </c>
      <c r="G1453">
        <f>ABS(E1453-F1453)</f>
        <v/>
      </c>
      <c r="H1453">
        <f>IF(G1453=0,"Yes","No")</f>
        <v/>
      </c>
      <c r="I1453" t="inlineStr">
        <is>
          <t>Partial</t>
        </is>
      </c>
      <c r="J1453">
        <f>IF(I1453="","",IF(AND(I1453=C1453,I1453=D1453),"Both",IF(I1453=C1453,"Opus",IF(I1453=D1453,"Sonnet","Neither"))))</f>
        <v/>
      </c>
    </row>
    <row r="1454">
      <c r="A1454" t="inlineStr">
        <is>
          <t>R394</t>
        </is>
      </c>
      <c r="B1454" t="inlineStr">
        <is>
          <t>Q5</t>
        </is>
      </c>
      <c r="C1454" t="inlineStr">
        <is>
          <t>Yes</t>
        </is>
      </c>
      <c r="D1454" t="inlineStr">
        <is>
          <t>Yes</t>
        </is>
      </c>
      <c r="E1454">
        <f>VLOOKUP(C1454,CategoryMap,2,0)</f>
        <v/>
      </c>
      <c r="F1454">
        <f>VLOOKUP(D1454,CategoryMap,2,0)</f>
        <v/>
      </c>
      <c r="G1454">
        <f>ABS(E1454-F1454)</f>
        <v/>
      </c>
      <c r="H1454">
        <f>IF(G1454=0,"Yes","No")</f>
        <v/>
      </c>
      <c r="I1454" t="inlineStr">
        <is>
          <t>Yes</t>
        </is>
      </c>
      <c r="J1454">
        <f>IF(I1454="","",IF(AND(I1454=C1454,I1454=D1454),"Both",IF(I1454=C1454,"Opus",IF(I1454=D1454,"Sonnet","Neither"))))</f>
        <v/>
      </c>
    </row>
    <row r="1455">
      <c r="A1455" t="inlineStr">
        <is>
          <t>R394</t>
        </is>
      </c>
      <c r="B1455" t="inlineStr">
        <is>
          <t>Q6</t>
        </is>
      </c>
      <c r="C1455" t="inlineStr">
        <is>
          <t>Yes</t>
        </is>
      </c>
      <c r="D1455" t="inlineStr">
        <is>
          <t>Yes</t>
        </is>
      </c>
      <c r="E1455">
        <f>VLOOKUP(C1455,CategoryMap,2,0)</f>
        <v/>
      </c>
      <c r="F1455">
        <f>VLOOKUP(D1455,CategoryMap,2,0)</f>
        <v/>
      </c>
      <c r="G1455">
        <f>ABS(E1455-F1455)</f>
        <v/>
      </c>
      <c r="H1455">
        <f>IF(G1455=0,"Yes","No")</f>
        <v/>
      </c>
      <c r="I1455" t="inlineStr">
        <is>
          <t>Yes</t>
        </is>
      </c>
      <c r="J1455">
        <f>IF(I1455="","",IF(AND(I1455=C1455,I1455=D1455),"Both",IF(I1455=C1455,"Opus",IF(I1455=D1455,"Sonnet","Neither"))))</f>
        <v/>
      </c>
    </row>
    <row r="1456">
      <c r="A1456" t="inlineStr">
        <is>
          <t>R394</t>
        </is>
      </c>
      <c r="B1456" t="inlineStr">
        <is>
          <t>Q7</t>
        </is>
      </c>
      <c r="C1456" t="inlineStr">
        <is>
          <t>Yes</t>
        </is>
      </c>
      <c r="D1456" t="inlineStr">
        <is>
          <t>Yes</t>
        </is>
      </c>
      <c r="E1456">
        <f>VLOOKUP(C1456,CategoryMap,2,0)</f>
        <v/>
      </c>
      <c r="F1456">
        <f>VLOOKUP(D1456,CategoryMap,2,0)</f>
        <v/>
      </c>
      <c r="G1456">
        <f>ABS(E1456-F1456)</f>
        <v/>
      </c>
      <c r="H1456">
        <f>IF(G1456=0,"Yes","No")</f>
        <v/>
      </c>
      <c r="I1456" t="inlineStr">
        <is>
          <t>Yes</t>
        </is>
      </c>
      <c r="J1456">
        <f>IF(I1456="","",IF(AND(I1456=C1456,I1456=D1456),"Both",IF(I1456=C1456,"Opus",IF(I1456=D1456,"Sonnet","Neither"))))</f>
        <v/>
      </c>
    </row>
    <row r="1457">
      <c r="A1457" t="inlineStr">
        <is>
          <t>R394</t>
        </is>
      </c>
      <c r="B1457" t="inlineStr">
        <is>
          <t>Q8</t>
        </is>
      </c>
      <c r="C1457" t="inlineStr">
        <is>
          <t>Partial</t>
        </is>
      </c>
      <c r="D1457" t="inlineStr">
        <is>
          <t>No</t>
        </is>
      </c>
      <c r="E1457">
        <f>VLOOKUP(C1457,CategoryMap,2,0)</f>
        <v/>
      </c>
      <c r="F1457">
        <f>VLOOKUP(D1457,CategoryMap,2,0)</f>
        <v/>
      </c>
      <c r="G1457">
        <f>ABS(E1457-F1457)</f>
        <v/>
      </c>
      <c r="H1457">
        <f>IF(G1457=0,"Yes","No")</f>
        <v/>
      </c>
      <c r="I1457" t="inlineStr">
        <is>
          <t>No</t>
        </is>
      </c>
      <c r="J1457">
        <f>IF(I1457="","",IF(AND(I1457=C1457,I1457=D1457),"Both",IF(I1457=C1457,"Opus",IF(I1457=D1457,"Sonnet","Neither"))))</f>
        <v/>
      </c>
    </row>
    <row r="1458">
      <c r="A1458" t="inlineStr">
        <is>
          <t>R396</t>
        </is>
      </c>
      <c r="B1458" t="inlineStr">
        <is>
          <t>Q1</t>
        </is>
      </c>
      <c r="C1458" t="inlineStr">
        <is>
          <t>Yes</t>
        </is>
      </c>
      <c r="D1458" t="inlineStr">
        <is>
          <t>Yes</t>
        </is>
      </c>
      <c r="E1458">
        <f>VLOOKUP(C1458,CategoryMap,2,0)</f>
        <v/>
      </c>
      <c r="F1458">
        <f>VLOOKUP(D1458,CategoryMap,2,0)</f>
        <v/>
      </c>
      <c r="G1458">
        <f>ABS(E1458-F1458)</f>
        <v/>
      </c>
      <c r="H1458">
        <f>IF(G1458=0,"Yes","No")</f>
        <v/>
      </c>
      <c r="I1458" t="inlineStr">
        <is>
          <t>Yes</t>
        </is>
      </c>
      <c r="J1458">
        <f>IF(I1458="","",IF(AND(I1458=C1458,I1458=D1458),"Both",IF(I1458=C1458,"Opus",IF(I1458=D1458,"Sonnet","Neither"))))</f>
        <v/>
      </c>
    </row>
    <row r="1459">
      <c r="A1459" t="inlineStr">
        <is>
          <t>R396</t>
        </is>
      </c>
      <c r="B1459" t="inlineStr">
        <is>
          <t>Q2</t>
        </is>
      </c>
      <c r="C1459" t="inlineStr">
        <is>
          <t>Yes</t>
        </is>
      </c>
      <c r="D1459" t="inlineStr">
        <is>
          <t>Yes</t>
        </is>
      </c>
      <c r="E1459">
        <f>VLOOKUP(C1459,CategoryMap,2,0)</f>
        <v/>
      </c>
      <c r="F1459">
        <f>VLOOKUP(D1459,CategoryMap,2,0)</f>
        <v/>
      </c>
      <c r="G1459">
        <f>ABS(E1459-F1459)</f>
        <v/>
      </c>
      <c r="H1459">
        <f>IF(G1459=0,"Yes","No")</f>
        <v/>
      </c>
      <c r="I1459" t="inlineStr">
        <is>
          <t>Yes</t>
        </is>
      </c>
      <c r="J1459">
        <f>IF(I1459="","",IF(AND(I1459=C1459,I1459=D1459),"Both",IF(I1459=C1459,"Opus",IF(I1459=D1459,"Sonnet","Neither"))))</f>
        <v/>
      </c>
    </row>
    <row r="1460">
      <c r="A1460" t="inlineStr">
        <is>
          <t>R396</t>
        </is>
      </c>
      <c r="B1460" t="inlineStr">
        <is>
          <t>Q3</t>
        </is>
      </c>
      <c r="C1460" t="inlineStr">
        <is>
          <t>Yes</t>
        </is>
      </c>
      <c r="D1460" t="inlineStr">
        <is>
          <t>Yes</t>
        </is>
      </c>
      <c r="E1460">
        <f>VLOOKUP(C1460,CategoryMap,2,0)</f>
        <v/>
      </c>
      <c r="F1460">
        <f>VLOOKUP(D1460,CategoryMap,2,0)</f>
        <v/>
      </c>
      <c r="G1460">
        <f>ABS(E1460-F1460)</f>
        <v/>
      </c>
      <c r="H1460">
        <f>IF(G1460=0,"Yes","No")</f>
        <v/>
      </c>
      <c r="I1460" t="inlineStr">
        <is>
          <t>Yes</t>
        </is>
      </c>
      <c r="J1460">
        <f>IF(I1460="","",IF(AND(I1460=C1460,I1460=D1460),"Both",IF(I1460=C1460,"Opus",IF(I1460=D1460,"Sonnet","Neither"))))</f>
        <v/>
      </c>
    </row>
    <row r="1461">
      <c r="A1461" t="inlineStr">
        <is>
          <t>R396</t>
        </is>
      </c>
      <c r="B1461" t="inlineStr">
        <is>
          <t>Q4</t>
        </is>
      </c>
      <c r="C1461" t="inlineStr">
        <is>
          <t>Partial</t>
        </is>
      </c>
      <c r="D1461" t="inlineStr">
        <is>
          <t>Partial</t>
        </is>
      </c>
      <c r="E1461">
        <f>VLOOKUP(C1461,CategoryMap,2,0)</f>
        <v/>
      </c>
      <c r="F1461">
        <f>VLOOKUP(D1461,CategoryMap,2,0)</f>
        <v/>
      </c>
      <c r="G1461">
        <f>ABS(E1461-F1461)</f>
        <v/>
      </c>
      <c r="H1461">
        <f>IF(G1461=0,"Yes","No")</f>
        <v/>
      </c>
      <c r="I1461" t="inlineStr">
        <is>
          <t>Partial</t>
        </is>
      </c>
      <c r="J1461">
        <f>IF(I1461="","",IF(AND(I1461=C1461,I1461=D1461),"Both",IF(I1461=C1461,"Opus",IF(I1461=D1461,"Sonnet","Neither"))))</f>
        <v/>
      </c>
    </row>
    <row r="1462">
      <c r="A1462" t="inlineStr">
        <is>
          <t>R396</t>
        </is>
      </c>
      <c r="B1462" t="inlineStr">
        <is>
          <t>Q5</t>
        </is>
      </c>
      <c r="C1462" t="inlineStr">
        <is>
          <t>Yes</t>
        </is>
      </c>
      <c r="D1462" t="inlineStr">
        <is>
          <t>Yes</t>
        </is>
      </c>
      <c r="E1462">
        <f>VLOOKUP(C1462,CategoryMap,2,0)</f>
        <v/>
      </c>
      <c r="F1462">
        <f>VLOOKUP(D1462,CategoryMap,2,0)</f>
        <v/>
      </c>
      <c r="G1462">
        <f>ABS(E1462-F1462)</f>
        <v/>
      </c>
      <c r="H1462">
        <f>IF(G1462=0,"Yes","No")</f>
        <v/>
      </c>
      <c r="I1462" t="inlineStr">
        <is>
          <t>Yes</t>
        </is>
      </c>
      <c r="J1462">
        <f>IF(I1462="","",IF(AND(I1462=C1462,I1462=D1462),"Both",IF(I1462=C1462,"Opus",IF(I1462=D1462,"Sonnet","Neither"))))</f>
        <v/>
      </c>
    </row>
    <row r="1463">
      <c r="A1463" t="inlineStr">
        <is>
          <t>R396</t>
        </is>
      </c>
      <c r="B1463" t="inlineStr">
        <is>
          <t>Q6</t>
        </is>
      </c>
      <c r="C1463" t="inlineStr">
        <is>
          <t>Yes</t>
        </is>
      </c>
      <c r="D1463" t="inlineStr">
        <is>
          <t>Yes</t>
        </is>
      </c>
      <c r="E1463">
        <f>VLOOKUP(C1463,CategoryMap,2,0)</f>
        <v/>
      </c>
      <c r="F1463">
        <f>VLOOKUP(D1463,CategoryMap,2,0)</f>
        <v/>
      </c>
      <c r="G1463">
        <f>ABS(E1463-F1463)</f>
        <v/>
      </c>
      <c r="H1463">
        <f>IF(G1463=0,"Yes","No")</f>
        <v/>
      </c>
      <c r="I1463" t="inlineStr">
        <is>
          <t>Yes</t>
        </is>
      </c>
      <c r="J1463">
        <f>IF(I1463="","",IF(AND(I1463=C1463,I1463=D1463),"Both",IF(I1463=C1463,"Opus",IF(I1463=D1463,"Sonnet","Neither"))))</f>
        <v/>
      </c>
    </row>
    <row r="1464">
      <c r="A1464" t="inlineStr">
        <is>
          <t>R396</t>
        </is>
      </c>
      <c r="B1464" t="inlineStr">
        <is>
          <t>Q7</t>
        </is>
      </c>
      <c r="C1464" t="inlineStr">
        <is>
          <t>Yes</t>
        </is>
      </c>
      <c r="D1464" t="inlineStr">
        <is>
          <t>Yes</t>
        </is>
      </c>
      <c r="E1464">
        <f>VLOOKUP(C1464,CategoryMap,2,0)</f>
        <v/>
      </c>
      <c r="F1464">
        <f>VLOOKUP(D1464,CategoryMap,2,0)</f>
        <v/>
      </c>
      <c r="G1464">
        <f>ABS(E1464-F1464)</f>
        <v/>
      </c>
      <c r="H1464">
        <f>IF(G1464=0,"Yes","No")</f>
        <v/>
      </c>
      <c r="I1464" t="inlineStr">
        <is>
          <t>Yes</t>
        </is>
      </c>
      <c r="J1464">
        <f>IF(I1464="","",IF(AND(I1464=C1464,I1464=D1464),"Both",IF(I1464=C1464,"Opus",IF(I1464=D1464,"Sonnet","Neither"))))</f>
        <v/>
      </c>
    </row>
    <row r="1465">
      <c r="A1465" t="inlineStr">
        <is>
          <t>R396</t>
        </is>
      </c>
      <c r="B1465" t="inlineStr">
        <is>
          <t>Q8</t>
        </is>
      </c>
      <c r="C1465" t="inlineStr">
        <is>
          <t>Yes</t>
        </is>
      </c>
      <c r="D1465" t="inlineStr">
        <is>
          <t>Yes</t>
        </is>
      </c>
      <c r="E1465">
        <f>VLOOKUP(C1465,CategoryMap,2,0)</f>
        <v/>
      </c>
      <c r="F1465">
        <f>VLOOKUP(D1465,CategoryMap,2,0)</f>
        <v/>
      </c>
      <c r="G1465">
        <f>ABS(E1465-F1465)</f>
        <v/>
      </c>
      <c r="H1465">
        <f>IF(G1465=0,"Yes","No")</f>
        <v/>
      </c>
      <c r="I1465" t="inlineStr">
        <is>
          <t>Yes</t>
        </is>
      </c>
      <c r="J1465">
        <f>IF(I1465="","",IF(AND(I1465=C1465,I1465=D1465),"Both",IF(I1465=C1465,"Opus",IF(I1465=D1465,"Sonnet","Neither"))))</f>
        <v/>
      </c>
    </row>
    <row r="1466">
      <c r="A1466" t="inlineStr">
        <is>
          <t>R397</t>
        </is>
      </c>
      <c r="B1466" t="inlineStr">
        <is>
          <t>Q1</t>
        </is>
      </c>
      <c r="C1466" t="inlineStr">
        <is>
          <t>Partial</t>
        </is>
      </c>
      <c r="D1466" t="inlineStr">
        <is>
          <t>No</t>
        </is>
      </c>
      <c r="E1466">
        <f>VLOOKUP(C1466,CategoryMap,2,0)</f>
        <v/>
      </c>
      <c r="F1466">
        <f>VLOOKUP(D1466,CategoryMap,2,0)</f>
        <v/>
      </c>
      <c r="G1466">
        <f>ABS(E1466-F1466)</f>
        <v/>
      </c>
      <c r="H1466">
        <f>IF(G1466=0,"Yes","No")</f>
        <v/>
      </c>
      <c r="I1466" t="inlineStr">
        <is>
          <t>Partial</t>
        </is>
      </c>
      <c r="J1466">
        <f>IF(I1466="","",IF(AND(I1466=C1466,I1466=D1466),"Both",IF(I1466=C1466,"Opus",IF(I1466=D1466,"Sonnet","Neither"))))</f>
        <v/>
      </c>
    </row>
    <row r="1467">
      <c r="A1467" t="inlineStr">
        <is>
          <t>R397</t>
        </is>
      </c>
      <c r="B1467" t="inlineStr">
        <is>
          <t>Q2</t>
        </is>
      </c>
      <c r="C1467" t="inlineStr">
        <is>
          <t>Partial</t>
        </is>
      </c>
      <c r="D1467" t="inlineStr">
        <is>
          <t>Partial</t>
        </is>
      </c>
      <c r="E1467">
        <f>VLOOKUP(C1467,CategoryMap,2,0)</f>
        <v/>
      </c>
      <c r="F1467">
        <f>VLOOKUP(D1467,CategoryMap,2,0)</f>
        <v/>
      </c>
      <c r="G1467">
        <f>ABS(E1467-F1467)</f>
        <v/>
      </c>
      <c r="H1467">
        <f>IF(G1467=0,"Yes","No")</f>
        <v/>
      </c>
      <c r="I1467" t="inlineStr">
        <is>
          <t>Partial</t>
        </is>
      </c>
      <c r="J1467">
        <f>IF(I1467="","",IF(AND(I1467=C1467,I1467=D1467),"Both",IF(I1467=C1467,"Opus",IF(I1467=D1467,"Sonnet","Neither"))))</f>
        <v/>
      </c>
    </row>
    <row r="1468">
      <c r="A1468" t="inlineStr">
        <is>
          <t>R397</t>
        </is>
      </c>
      <c r="B1468" t="inlineStr">
        <is>
          <t>Q3</t>
        </is>
      </c>
      <c r="C1468" t="inlineStr">
        <is>
          <t>Yes</t>
        </is>
      </c>
      <c r="D1468" t="inlineStr">
        <is>
          <t>Partial</t>
        </is>
      </c>
      <c r="E1468">
        <f>VLOOKUP(C1468,CategoryMap,2,0)</f>
        <v/>
      </c>
      <c r="F1468">
        <f>VLOOKUP(D1468,CategoryMap,2,0)</f>
        <v/>
      </c>
      <c r="G1468">
        <f>ABS(E1468-F1468)</f>
        <v/>
      </c>
      <c r="H1468">
        <f>IF(G1468=0,"Yes","No")</f>
        <v/>
      </c>
      <c r="I1468" t="inlineStr">
        <is>
          <t>Partial</t>
        </is>
      </c>
      <c r="J1468">
        <f>IF(I1468="","",IF(AND(I1468=C1468,I1468=D1468),"Both",IF(I1468=C1468,"Opus",IF(I1468=D1468,"Sonnet","Neither"))))</f>
        <v/>
      </c>
    </row>
    <row r="1469">
      <c r="A1469" t="inlineStr">
        <is>
          <t>R397</t>
        </is>
      </c>
      <c r="B1469" t="inlineStr">
        <is>
          <t>Q4</t>
        </is>
      </c>
      <c r="C1469" t="inlineStr">
        <is>
          <t>Partial</t>
        </is>
      </c>
      <c r="D1469" t="inlineStr">
        <is>
          <t>Yes</t>
        </is>
      </c>
      <c r="E1469">
        <f>VLOOKUP(C1469,CategoryMap,2,0)</f>
        <v/>
      </c>
      <c r="F1469">
        <f>VLOOKUP(D1469,CategoryMap,2,0)</f>
        <v/>
      </c>
      <c r="G1469">
        <f>ABS(E1469-F1469)</f>
        <v/>
      </c>
      <c r="H1469">
        <f>IF(G1469=0,"Yes","No")</f>
        <v/>
      </c>
      <c r="I1469" t="inlineStr">
        <is>
          <t>Partial</t>
        </is>
      </c>
      <c r="J1469">
        <f>IF(I1469="","",IF(AND(I1469=C1469,I1469=D1469),"Both",IF(I1469=C1469,"Opus",IF(I1469=D1469,"Sonnet","Neither"))))</f>
        <v/>
      </c>
    </row>
    <row r="1470">
      <c r="A1470" t="inlineStr">
        <is>
          <t>R397</t>
        </is>
      </c>
      <c r="B1470" t="inlineStr">
        <is>
          <t>Q5</t>
        </is>
      </c>
      <c r="C1470" t="inlineStr">
        <is>
          <t>Yes</t>
        </is>
      </c>
      <c r="D1470" t="inlineStr">
        <is>
          <t>Yes</t>
        </is>
      </c>
      <c r="E1470">
        <f>VLOOKUP(C1470,CategoryMap,2,0)</f>
        <v/>
      </c>
      <c r="F1470">
        <f>VLOOKUP(D1470,CategoryMap,2,0)</f>
        <v/>
      </c>
      <c r="G1470">
        <f>ABS(E1470-F1470)</f>
        <v/>
      </c>
      <c r="H1470">
        <f>IF(G1470=0,"Yes","No")</f>
        <v/>
      </c>
      <c r="I1470" t="inlineStr">
        <is>
          <t>Yes</t>
        </is>
      </c>
      <c r="J1470">
        <f>IF(I1470="","",IF(AND(I1470=C1470,I1470=D1470),"Both",IF(I1470=C1470,"Opus",IF(I1470=D1470,"Sonnet","Neither"))))</f>
        <v/>
      </c>
    </row>
    <row r="1471">
      <c r="A1471" t="inlineStr">
        <is>
          <t>R397</t>
        </is>
      </c>
      <c r="B1471" t="inlineStr">
        <is>
          <t>Q6</t>
        </is>
      </c>
      <c r="C1471" t="inlineStr">
        <is>
          <t>Yes</t>
        </is>
      </c>
      <c r="D1471" t="inlineStr">
        <is>
          <t>Yes</t>
        </is>
      </c>
      <c r="E1471">
        <f>VLOOKUP(C1471,CategoryMap,2,0)</f>
        <v/>
      </c>
      <c r="F1471">
        <f>VLOOKUP(D1471,CategoryMap,2,0)</f>
        <v/>
      </c>
      <c r="G1471">
        <f>ABS(E1471-F1471)</f>
        <v/>
      </c>
      <c r="H1471">
        <f>IF(G1471=0,"Yes","No")</f>
        <v/>
      </c>
      <c r="I1471" t="inlineStr">
        <is>
          <t>Yes</t>
        </is>
      </c>
      <c r="J1471">
        <f>IF(I1471="","",IF(AND(I1471=C1471,I1471=D1471),"Both",IF(I1471=C1471,"Opus",IF(I1471=D1471,"Sonnet","Neither"))))</f>
        <v/>
      </c>
    </row>
    <row r="1472">
      <c r="A1472" t="inlineStr">
        <is>
          <t>R397</t>
        </is>
      </c>
      <c r="B1472" t="inlineStr">
        <is>
          <t>Q7</t>
        </is>
      </c>
      <c r="C1472" t="inlineStr">
        <is>
          <t>Yes</t>
        </is>
      </c>
      <c r="D1472" t="inlineStr">
        <is>
          <t>Yes</t>
        </is>
      </c>
      <c r="E1472">
        <f>VLOOKUP(C1472,CategoryMap,2,0)</f>
        <v/>
      </c>
      <c r="F1472">
        <f>VLOOKUP(D1472,CategoryMap,2,0)</f>
        <v/>
      </c>
      <c r="G1472">
        <f>ABS(E1472-F1472)</f>
        <v/>
      </c>
      <c r="H1472">
        <f>IF(G1472=0,"Yes","No")</f>
        <v/>
      </c>
      <c r="I1472" t="inlineStr">
        <is>
          <t>Yes</t>
        </is>
      </c>
      <c r="J1472">
        <f>IF(I1472="","",IF(AND(I1472=C1472,I1472=D1472),"Both",IF(I1472=C1472,"Opus",IF(I1472=D1472,"Sonnet","Neither"))))</f>
        <v/>
      </c>
    </row>
    <row r="1473">
      <c r="A1473" t="inlineStr">
        <is>
          <t>R397</t>
        </is>
      </c>
      <c r="B1473" t="inlineStr">
        <is>
          <t>Q8</t>
        </is>
      </c>
      <c r="C1473" t="inlineStr">
        <is>
          <t>Partial</t>
        </is>
      </c>
      <c r="D1473" t="inlineStr">
        <is>
          <t>Partial</t>
        </is>
      </c>
      <c r="E1473">
        <f>VLOOKUP(C1473,CategoryMap,2,0)</f>
        <v/>
      </c>
      <c r="F1473">
        <f>VLOOKUP(D1473,CategoryMap,2,0)</f>
        <v/>
      </c>
      <c r="G1473">
        <f>ABS(E1473-F1473)</f>
        <v/>
      </c>
      <c r="H1473">
        <f>IF(G1473=0,"Yes","No")</f>
        <v/>
      </c>
      <c r="I1473" t="inlineStr">
        <is>
          <t>Yes</t>
        </is>
      </c>
      <c r="J1473">
        <f>IF(I1473="","",IF(AND(I1473=C1473,I1473=D1473),"Both",IF(I1473=C1473,"Opus",IF(I1473=D1473,"Sonnet","Neither"))))</f>
        <v/>
      </c>
    </row>
    <row r="1474">
      <c r="A1474" t="inlineStr">
        <is>
          <t>R400</t>
        </is>
      </c>
      <c r="B1474" t="inlineStr">
        <is>
          <t>Q1</t>
        </is>
      </c>
      <c r="C1474" t="inlineStr">
        <is>
          <t>Yes</t>
        </is>
      </c>
      <c r="D1474" t="inlineStr">
        <is>
          <t>Partial</t>
        </is>
      </c>
      <c r="E1474">
        <f>VLOOKUP(C1474,CategoryMap,2,0)</f>
        <v/>
      </c>
      <c r="F1474">
        <f>VLOOKUP(D1474,CategoryMap,2,0)</f>
        <v/>
      </c>
      <c r="G1474">
        <f>ABS(E1474-F1474)</f>
        <v/>
      </c>
      <c r="H1474">
        <f>IF(G1474=0,"Yes","No")</f>
        <v/>
      </c>
      <c r="I1474" t="inlineStr">
        <is>
          <t>Yes</t>
        </is>
      </c>
      <c r="J1474">
        <f>IF(I1474="","",IF(AND(I1474=C1474,I1474=D1474),"Both",IF(I1474=C1474,"Opus",IF(I1474=D1474,"Sonnet","Neither"))))</f>
        <v/>
      </c>
    </row>
    <row r="1475">
      <c r="A1475" t="inlineStr">
        <is>
          <t>R400</t>
        </is>
      </c>
      <c r="B1475" t="inlineStr">
        <is>
          <t>Q2</t>
        </is>
      </c>
      <c r="C1475" t="inlineStr">
        <is>
          <t>Yes</t>
        </is>
      </c>
      <c r="D1475" t="inlineStr">
        <is>
          <t>Yes</t>
        </is>
      </c>
      <c r="E1475">
        <f>VLOOKUP(C1475,CategoryMap,2,0)</f>
        <v/>
      </c>
      <c r="F1475">
        <f>VLOOKUP(D1475,CategoryMap,2,0)</f>
        <v/>
      </c>
      <c r="G1475">
        <f>ABS(E1475-F1475)</f>
        <v/>
      </c>
      <c r="H1475">
        <f>IF(G1475=0,"Yes","No")</f>
        <v/>
      </c>
      <c r="I1475" t="inlineStr">
        <is>
          <t>Yes</t>
        </is>
      </c>
      <c r="J1475">
        <f>IF(I1475="","",IF(AND(I1475=C1475,I1475=D1475),"Both",IF(I1475=C1475,"Opus",IF(I1475=D1475,"Sonnet","Neither"))))</f>
        <v/>
      </c>
    </row>
    <row r="1476">
      <c r="A1476" t="inlineStr">
        <is>
          <t>R400</t>
        </is>
      </c>
      <c r="B1476" t="inlineStr">
        <is>
          <t>Q3</t>
        </is>
      </c>
      <c r="C1476" t="inlineStr">
        <is>
          <t>Yes</t>
        </is>
      </c>
      <c r="D1476" t="inlineStr">
        <is>
          <t>Yes</t>
        </is>
      </c>
      <c r="E1476">
        <f>VLOOKUP(C1476,CategoryMap,2,0)</f>
        <v/>
      </c>
      <c r="F1476">
        <f>VLOOKUP(D1476,CategoryMap,2,0)</f>
        <v/>
      </c>
      <c r="G1476">
        <f>ABS(E1476-F1476)</f>
        <v/>
      </c>
      <c r="H1476">
        <f>IF(G1476=0,"Yes","No")</f>
        <v/>
      </c>
      <c r="I1476" t="inlineStr">
        <is>
          <t>Yes</t>
        </is>
      </c>
      <c r="J1476">
        <f>IF(I1476="","",IF(AND(I1476=C1476,I1476=D1476),"Both",IF(I1476=C1476,"Opus",IF(I1476=D1476,"Sonnet","Neither"))))</f>
        <v/>
      </c>
    </row>
    <row r="1477">
      <c r="A1477" t="inlineStr">
        <is>
          <t>R400</t>
        </is>
      </c>
      <c r="B1477" t="inlineStr">
        <is>
          <t>Q4</t>
        </is>
      </c>
      <c r="C1477" t="inlineStr">
        <is>
          <t>Partial</t>
        </is>
      </c>
      <c r="D1477" t="inlineStr">
        <is>
          <t>Partial</t>
        </is>
      </c>
      <c r="E1477">
        <f>VLOOKUP(C1477,CategoryMap,2,0)</f>
        <v/>
      </c>
      <c r="F1477">
        <f>VLOOKUP(D1477,CategoryMap,2,0)</f>
        <v/>
      </c>
      <c r="G1477">
        <f>ABS(E1477-F1477)</f>
        <v/>
      </c>
      <c r="H1477">
        <f>IF(G1477=0,"Yes","No")</f>
        <v/>
      </c>
      <c r="I1477" t="inlineStr">
        <is>
          <t>Partial</t>
        </is>
      </c>
      <c r="J1477">
        <f>IF(I1477="","",IF(AND(I1477=C1477,I1477=D1477),"Both",IF(I1477=C1477,"Opus",IF(I1477=D1477,"Sonnet","Neither"))))</f>
        <v/>
      </c>
    </row>
    <row r="1478">
      <c r="A1478" t="inlineStr">
        <is>
          <t>R400</t>
        </is>
      </c>
      <c r="B1478" t="inlineStr">
        <is>
          <t>Q5</t>
        </is>
      </c>
      <c r="C1478" t="inlineStr">
        <is>
          <t>Partial</t>
        </is>
      </c>
      <c r="D1478" t="inlineStr">
        <is>
          <t>Partial</t>
        </is>
      </c>
      <c r="E1478">
        <f>VLOOKUP(C1478,CategoryMap,2,0)</f>
        <v/>
      </c>
      <c r="F1478">
        <f>VLOOKUP(D1478,CategoryMap,2,0)</f>
        <v/>
      </c>
      <c r="G1478">
        <f>ABS(E1478-F1478)</f>
        <v/>
      </c>
      <c r="H1478">
        <f>IF(G1478=0,"Yes","No")</f>
        <v/>
      </c>
      <c r="I1478" t="inlineStr">
        <is>
          <t>Partial</t>
        </is>
      </c>
      <c r="J1478">
        <f>IF(I1478="","",IF(AND(I1478=C1478,I1478=D1478),"Both",IF(I1478=C1478,"Opus",IF(I1478=D1478,"Sonnet","Neither"))))</f>
        <v/>
      </c>
    </row>
    <row r="1479">
      <c r="A1479" t="inlineStr">
        <is>
          <t>R400</t>
        </is>
      </c>
      <c r="B1479" t="inlineStr">
        <is>
          <t>Q6</t>
        </is>
      </c>
      <c r="C1479" t="inlineStr">
        <is>
          <t>Partial</t>
        </is>
      </c>
      <c r="D1479" t="inlineStr">
        <is>
          <t>Partial</t>
        </is>
      </c>
      <c r="E1479">
        <f>VLOOKUP(C1479,CategoryMap,2,0)</f>
        <v/>
      </c>
      <c r="F1479">
        <f>VLOOKUP(D1479,CategoryMap,2,0)</f>
        <v/>
      </c>
      <c r="G1479">
        <f>ABS(E1479-F1479)</f>
        <v/>
      </c>
      <c r="H1479">
        <f>IF(G1479=0,"Yes","No")</f>
        <v/>
      </c>
      <c r="I1479" t="inlineStr">
        <is>
          <t>Partial</t>
        </is>
      </c>
      <c r="J1479">
        <f>IF(I1479="","",IF(AND(I1479=C1479,I1479=D1479),"Both",IF(I1479=C1479,"Opus",IF(I1479=D1479,"Sonnet","Neither"))))</f>
        <v/>
      </c>
    </row>
    <row r="1480">
      <c r="A1480" t="inlineStr">
        <is>
          <t>R400</t>
        </is>
      </c>
      <c r="B1480" t="inlineStr">
        <is>
          <t>Q7</t>
        </is>
      </c>
      <c r="C1480" t="inlineStr">
        <is>
          <t>Yes</t>
        </is>
      </c>
      <c r="D1480" t="inlineStr">
        <is>
          <t>Yes</t>
        </is>
      </c>
      <c r="E1480">
        <f>VLOOKUP(C1480,CategoryMap,2,0)</f>
        <v/>
      </c>
      <c r="F1480">
        <f>VLOOKUP(D1480,CategoryMap,2,0)</f>
        <v/>
      </c>
      <c r="G1480">
        <f>ABS(E1480-F1480)</f>
        <v/>
      </c>
      <c r="H1480">
        <f>IF(G1480=0,"Yes","No")</f>
        <v/>
      </c>
      <c r="I1480" t="inlineStr">
        <is>
          <t>Yes</t>
        </is>
      </c>
      <c r="J1480">
        <f>IF(I1480="","",IF(AND(I1480=C1480,I1480=D1480),"Both",IF(I1480=C1480,"Opus",IF(I1480=D1480,"Sonnet","Neither"))))</f>
        <v/>
      </c>
    </row>
    <row r="1481">
      <c r="A1481" t="inlineStr">
        <is>
          <t>R400</t>
        </is>
      </c>
      <c r="B1481" t="inlineStr">
        <is>
          <t>Q8</t>
        </is>
      </c>
      <c r="C1481" t="inlineStr">
        <is>
          <t>Yes</t>
        </is>
      </c>
      <c r="D1481" t="inlineStr">
        <is>
          <t>Partial</t>
        </is>
      </c>
      <c r="E1481">
        <f>VLOOKUP(C1481,CategoryMap,2,0)</f>
        <v/>
      </c>
      <c r="F1481">
        <f>VLOOKUP(D1481,CategoryMap,2,0)</f>
        <v/>
      </c>
      <c r="G1481">
        <f>ABS(E1481-F1481)</f>
        <v/>
      </c>
      <c r="H1481">
        <f>IF(G1481=0,"Yes","No")</f>
        <v/>
      </c>
      <c r="I1481" t="inlineStr">
        <is>
          <t>Partial</t>
        </is>
      </c>
      <c r="J1481">
        <f>IF(I1481="","",IF(AND(I1481=C1481,I1481=D1481),"Both",IF(I1481=C1481,"Opus",IF(I1481=D1481,"Sonnet","Neither"))))</f>
        <v/>
      </c>
    </row>
    <row r="1482">
      <c r="A1482" t="inlineStr">
        <is>
          <t>R404</t>
        </is>
      </c>
      <c r="B1482" t="inlineStr">
        <is>
          <t>Q1</t>
        </is>
      </c>
      <c r="C1482" t="inlineStr">
        <is>
          <t>Partial</t>
        </is>
      </c>
      <c r="D1482" t="inlineStr">
        <is>
          <t>Partial</t>
        </is>
      </c>
      <c r="E1482">
        <f>VLOOKUP(C1482,CategoryMap,2,0)</f>
        <v/>
      </c>
      <c r="F1482">
        <f>VLOOKUP(D1482,CategoryMap,2,0)</f>
        <v/>
      </c>
      <c r="G1482">
        <f>ABS(E1482-F1482)</f>
        <v/>
      </c>
      <c r="H1482">
        <f>IF(G1482=0,"Yes","No")</f>
        <v/>
      </c>
      <c r="I1482" t="inlineStr">
        <is>
          <t>Partial</t>
        </is>
      </c>
      <c r="J1482">
        <f>IF(I1482="","",IF(AND(I1482=C1482,I1482=D1482),"Both",IF(I1482=C1482,"Opus",IF(I1482=D1482,"Sonnet","Neither"))))</f>
        <v/>
      </c>
    </row>
    <row r="1483">
      <c r="A1483" t="inlineStr">
        <is>
          <t>R404</t>
        </is>
      </c>
      <c r="B1483" t="inlineStr">
        <is>
          <t>Q2</t>
        </is>
      </c>
      <c r="C1483" t="inlineStr">
        <is>
          <t>Partial</t>
        </is>
      </c>
      <c r="D1483" t="inlineStr">
        <is>
          <t>Partial</t>
        </is>
      </c>
      <c r="E1483">
        <f>VLOOKUP(C1483,CategoryMap,2,0)</f>
        <v/>
      </c>
      <c r="F1483">
        <f>VLOOKUP(D1483,CategoryMap,2,0)</f>
        <v/>
      </c>
      <c r="G1483">
        <f>ABS(E1483-F1483)</f>
        <v/>
      </c>
      <c r="H1483">
        <f>IF(G1483=0,"Yes","No")</f>
        <v/>
      </c>
      <c r="I1483" t="inlineStr">
        <is>
          <t>Partial</t>
        </is>
      </c>
      <c r="J1483">
        <f>IF(I1483="","",IF(AND(I1483=C1483,I1483=D1483),"Both",IF(I1483=C1483,"Opus",IF(I1483=D1483,"Sonnet","Neither"))))</f>
        <v/>
      </c>
    </row>
    <row r="1484">
      <c r="A1484" t="inlineStr">
        <is>
          <t>R404</t>
        </is>
      </c>
      <c r="B1484" t="inlineStr">
        <is>
          <t>Q3</t>
        </is>
      </c>
      <c r="C1484" t="inlineStr">
        <is>
          <t>Partial</t>
        </is>
      </c>
      <c r="D1484" t="inlineStr">
        <is>
          <t>Partial</t>
        </is>
      </c>
      <c r="E1484">
        <f>VLOOKUP(C1484,CategoryMap,2,0)</f>
        <v/>
      </c>
      <c r="F1484">
        <f>VLOOKUP(D1484,CategoryMap,2,0)</f>
        <v/>
      </c>
      <c r="G1484">
        <f>ABS(E1484-F1484)</f>
        <v/>
      </c>
      <c r="H1484">
        <f>IF(G1484=0,"Yes","No")</f>
        <v/>
      </c>
      <c r="I1484" t="inlineStr">
        <is>
          <t>Partial</t>
        </is>
      </c>
      <c r="J1484">
        <f>IF(I1484="","",IF(AND(I1484=C1484,I1484=D1484),"Both",IF(I1484=C1484,"Opus",IF(I1484=D1484,"Sonnet","Neither"))))</f>
        <v/>
      </c>
    </row>
    <row r="1485">
      <c r="A1485" t="inlineStr">
        <is>
          <t>R404</t>
        </is>
      </c>
      <c r="B1485" t="inlineStr">
        <is>
          <t>Q4</t>
        </is>
      </c>
      <c r="C1485" t="inlineStr">
        <is>
          <t>Partial</t>
        </is>
      </c>
      <c r="D1485" t="inlineStr">
        <is>
          <t>Yes</t>
        </is>
      </c>
      <c r="E1485">
        <f>VLOOKUP(C1485,CategoryMap,2,0)</f>
        <v/>
      </c>
      <c r="F1485">
        <f>VLOOKUP(D1485,CategoryMap,2,0)</f>
        <v/>
      </c>
      <c r="G1485">
        <f>ABS(E1485-F1485)</f>
        <v/>
      </c>
      <c r="H1485">
        <f>IF(G1485=0,"Yes","No")</f>
        <v/>
      </c>
      <c r="I1485" t="inlineStr">
        <is>
          <t>Partial</t>
        </is>
      </c>
      <c r="J1485">
        <f>IF(I1485="","",IF(AND(I1485=C1485,I1485=D1485),"Both",IF(I1485=C1485,"Opus",IF(I1485=D1485,"Sonnet","Neither"))))</f>
        <v/>
      </c>
    </row>
    <row r="1486">
      <c r="A1486" t="inlineStr">
        <is>
          <t>R404</t>
        </is>
      </c>
      <c r="B1486" t="inlineStr">
        <is>
          <t>Q5</t>
        </is>
      </c>
      <c r="C1486" t="inlineStr">
        <is>
          <t>Yes</t>
        </is>
      </c>
      <c r="D1486" t="inlineStr">
        <is>
          <t>Yes</t>
        </is>
      </c>
      <c r="E1486">
        <f>VLOOKUP(C1486,CategoryMap,2,0)</f>
        <v/>
      </c>
      <c r="F1486">
        <f>VLOOKUP(D1486,CategoryMap,2,0)</f>
        <v/>
      </c>
      <c r="G1486">
        <f>ABS(E1486-F1486)</f>
        <v/>
      </c>
      <c r="H1486">
        <f>IF(G1486=0,"Yes","No")</f>
        <v/>
      </c>
      <c r="I1486" t="inlineStr">
        <is>
          <t>Yes</t>
        </is>
      </c>
      <c r="J1486">
        <f>IF(I1486="","",IF(AND(I1486=C1486,I1486=D1486),"Both",IF(I1486=C1486,"Opus",IF(I1486=D1486,"Sonnet","Neither"))))</f>
        <v/>
      </c>
    </row>
    <row r="1487">
      <c r="A1487" t="inlineStr">
        <is>
          <t>R404</t>
        </is>
      </c>
      <c r="B1487" t="inlineStr">
        <is>
          <t>Q6</t>
        </is>
      </c>
      <c r="C1487" t="inlineStr">
        <is>
          <t>Yes</t>
        </is>
      </c>
      <c r="D1487" t="inlineStr">
        <is>
          <t>Yes</t>
        </is>
      </c>
      <c r="E1487">
        <f>VLOOKUP(C1487,CategoryMap,2,0)</f>
        <v/>
      </c>
      <c r="F1487">
        <f>VLOOKUP(D1487,CategoryMap,2,0)</f>
        <v/>
      </c>
      <c r="G1487">
        <f>ABS(E1487-F1487)</f>
        <v/>
      </c>
      <c r="H1487">
        <f>IF(G1487=0,"Yes","No")</f>
        <v/>
      </c>
      <c r="I1487" t="inlineStr">
        <is>
          <t>Yes</t>
        </is>
      </c>
      <c r="J1487">
        <f>IF(I1487="","",IF(AND(I1487=C1487,I1487=D1487),"Both",IF(I1487=C1487,"Opus",IF(I1487=D1487,"Sonnet","Neither"))))</f>
        <v/>
      </c>
    </row>
    <row r="1488">
      <c r="A1488" t="inlineStr">
        <is>
          <t>R404</t>
        </is>
      </c>
      <c r="B1488" t="inlineStr">
        <is>
          <t>Q7</t>
        </is>
      </c>
      <c r="C1488" t="inlineStr">
        <is>
          <t>Yes</t>
        </is>
      </c>
      <c r="D1488" t="inlineStr">
        <is>
          <t>Yes</t>
        </is>
      </c>
      <c r="E1488">
        <f>VLOOKUP(C1488,CategoryMap,2,0)</f>
        <v/>
      </c>
      <c r="F1488">
        <f>VLOOKUP(D1488,CategoryMap,2,0)</f>
        <v/>
      </c>
      <c r="G1488">
        <f>ABS(E1488-F1488)</f>
        <v/>
      </c>
      <c r="H1488">
        <f>IF(G1488=0,"Yes","No")</f>
        <v/>
      </c>
      <c r="I1488" t="inlineStr">
        <is>
          <t>Yes</t>
        </is>
      </c>
      <c r="J1488">
        <f>IF(I1488="","",IF(AND(I1488=C1488,I1488=D1488),"Both",IF(I1488=C1488,"Opus",IF(I1488=D1488,"Sonnet","Neither"))))</f>
        <v/>
      </c>
    </row>
    <row r="1489">
      <c r="A1489" t="inlineStr">
        <is>
          <t>R404</t>
        </is>
      </c>
      <c r="B1489" t="inlineStr">
        <is>
          <t>Q8</t>
        </is>
      </c>
      <c r="C1489" t="inlineStr">
        <is>
          <t>Partial</t>
        </is>
      </c>
      <c r="D1489" t="inlineStr">
        <is>
          <t>No</t>
        </is>
      </c>
      <c r="E1489">
        <f>VLOOKUP(C1489,CategoryMap,2,0)</f>
        <v/>
      </c>
      <c r="F1489">
        <f>VLOOKUP(D1489,CategoryMap,2,0)</f>
        <v/>
      </c>
      <c r="G1489">
        <f>ABS(E1489-F1489)</f>
        <v/>
      </c>
      <c r="H1489">
        <f>IF(G1489=0,"Yes","No")</f>
        <v/>
      </c>
      <c r="I1489" t="inlineStr">
        <is>
          <t>Partial</t>
        </is>
      </c>
      <c r="J1489">
        <f>IF(I1489="","",IF(AND(I1489=C1489,I1489=D1489),"Both",IF(I1489=C1489,"Opus",IF(I1489=D1489,"Sonnet","Neither"))))</f>
        <v/>
      </c>
    </row>
    <row r="1490">
      <c r="A1490" t="inlineStr">
        <is>
          <t>R405</t>
        </is>
      </c>
      <c r="B1490" t="inlineStr">
        <is>
          <t>Q1</t>
        </is>
      </c>
      <c r="C1490" t="inlineStr">
        <is>
          <t>Partial</t>
        </is>
      </c>
      <c r="D1490" t="inlineStr">
        <is>
          <t>No</t>
        </is>
      </c>
      <c r="E1490">
        <f>VLOOKUP(C1490,CategoryMap,2,0)</f>
        <v/>
      </c>
      <c r="F1490">
        <f>VLOOKUP(D1490,CategoryMap,2,0)</f>
        <v/>
      </c>
      <c r="G1490">
        <f>ABS(E1490-F1490)</f>
        <v/>
      </c>
      <c r="H1490">
        <f>IF(G1490=0,"Yes","No")</f>
        <v/>
      </c>
      <c r="I1490" t="inlineStr">
        <is>
          <t>Partial</t>
        </is>
      </c>
      <c r="J1490">
        <f>IF(I1490="","",IF(AND(I1490=C1490,I1490=D1490),"Both",IF(I1490=C1490,"Opus",IF(I1490=D1490,"Sonnet","Neither"))))</f>
        <v/>
      </c>
    </row>
    <row r="1491">
      <c r="A1491" t="inlineStr">
        <is>
          <t>R405</t>
        </is>
      </c>
      <c r="B1491" t="inlineStr">
        <is>
          <t>Q2</t>
        </is>
      </c>
      <c r="C1491" t="inlineStr">
        <is>
          <t>Partial</t>
        </is>
      </c>
      <c r="D1491" t="inlineStr">
        <is>
          <t>Partial</t>
        </is>
      </c>
      <c r="E1491">
        <f>VLOOKUP(C1491,CategoryMap,2,0)</f>
        <v/>
      </c>
      <c r="F1491">
        <f>VLOOKUP(D1491,CategoryMap,2,0)</f>
        <v/>
      </c>
      <c r="G1491">
        <f>ABS(E1491-F1491)</f>
        <v/>
      </c>
      <c r="H1491">
        <f>IF(G1491=0,"Yes","No")</f>
        <v/>
      </c>
      <c r="I1491" t="inlineStr">
        <is>
          <t>Partial</t>
        </is>
      </c>
      <c r="J1491">
        <f>IF(I1491="","",IF(AND(I1491=C1491,I1491=D1491),"Both",IF(I1491=C1491,"Opus",IF(I1491=D1491,"Sonnet","Neither"))))</f>
        <v/>
      </c>
    </row>
    <row r="1492">
      <c r="A1492" t="inlineStr">
        <is>
          <t>R405</t>
        </is>
      </c>
      <c r="B1492" t="inlineStr">
        <is>
          <t>Q3</t>
        </is>
      </c>
      <c r="C1492" t="inlineStr">
        <is>
          <t>Yes</t>
        </is>
      </c>
      <c r="D1492" t="inlineStr">
        <is>
          <t>Partial</t>
        </is>
      </c>
      <c r="E1492">
        <f>VLOOKUP(C1492,CategoryMap,2,0)</f>
        <v/>
      </c>
      <c r="F1492">
        <f>VLOOKUP(D1492,CategoryMap,2,0)</f>
        <v/>
      </c>
      <c r="G1492">
        <f>ABS(E1492-F1492)</f>
        <v/>
      </c>
      <c r="H1492">
        <f>IF(G1492=0,"Yes","No")</f>
        <v/>
      </c>
      <c r="I1492" t="inlineStr">
        <is>
          <t>Yes</t>
        </is>
      </c>
      <c r="J1492">
        <f>IF(I1492="","",IF(AND(I1492=C1492,I1492=D1492),"Both",IF(I1492=C1492,"Opus",IF(I1492=D1492,"Sonnet","Neither"))))</f>
        <v/>
      </c>
    </row>
    <row r="1493">
      <c r="A1493" t="inlineStr">
        <is>
          <t>R405</t>
        </is>
      </c>
      <c r="B1493" t="inlineStr">
        <is>
          <t>Q4</t>
        </is>
      </c>
      <c r="C1493" t="inlineStr">
        <is>
          <t>Partial</t>
        </is>
      </c>
      <c r="D1493" t="inlineStr">
        <is>
          <t>Partial</t>
        </is>
      </c>
      <c r="E1493">
        <f>VLOOKUP(C1493,CategoryMap,2,0)</f>
        <v/>
      </c>
      <c r="F1493">
        <f>VLOOKUP(D1493,CategoryMap,2,0)</f>
        <v/>
      </c>
      <c r="G1493">
        <f>ABS(E1493-F1493)</f>
        <v/>
      </c>
      <c r="H1493">
        <f>IF(G1493=0,"Yes","No")</f>
        <v/>
      </c>
      <c r="I1493" t="inlineStr">
        <is>
          <t>Partial</t>
        </is>
      </c>
      <c r="J1493">
        <f>IF(I1493="","",IF(AND(I1493=C1493,I1493=D1493),"Both",IF(I1493=C1493,"Opus",IF(I1493=D1493,"Sonnet","Neither"))))</f>
        <v/>
      </c>
    </row>
    <row r="1494">
      <c r="A1494" t="inlineStr">
        <is>
          <t>R405</t>
        </is>
      </c>
      <c r="B1494" t="inlineStr">
        <is>
          <t>Q5</t>
        </is>
      </c>
      <c r="C1494" t="inlineStr">
        <is>
          <t>Partial</t>
        </is>
      </c>
      <c r="D1494" t="inlineStr">
        <is>
          <t>Partial</t>
        </is>
      </c>
      <c r="E1494">
        <f>VLOOKUP(C1494,CategoryMap,2,0)</f>
        <v/>
      </c>
      <c r="F1494">
        <f>VLOOKUP(D1494,CategoryMap,2,0)</f>
        <v/>
      </c>
      <c r="G1494">
        <f>ABS(E1494-F1494)</f>
        <v/>
      </c>
      <c r="H1494">
        <f>IF(G1494=0,"Yes","No")</f>
        <v/>
      </c>
      <c r="I1494" t="inlineStr">
        <is>
          <t>Partial</t>
        </is>
      </c>
      <c r="J1494">
        <f>IF(I1494="","",IF(AND(I1494=C1494,I1494=D1494),"Both",IF(I1494=C1494,"Opus",IF(I1494=D1494,"Sonnet","Neither"))))</f>
        <v/>
      </c>
    </row>
    <row r="1495">
      <c r="A1495" t="inlineStr">
        <is>
          <t>R405</t>
        </is>
      </c>
      <c r="B1495" t="inlineStr">
        <is>
          <t>Q6</t>
        </is>
      </c>
      <c r="C1495" t="inlineStr">
        <is>
          <t>Partial</t>
        </is>
      </c>
      <c r="D1495" t="inlineStr">
        <is>
          <t>Partial</t>
        </is>
      </c>
      <c r="E1495">
        <f>VLOOKUP(C1495,CategoryMap,2,0)</f>
        <v/>
      </c>
      <c r="F1495">
        <f>VLOOKUP(D1495,CategoryMap,2,0)</f>
        <v/>
      </c>
      <c r="G1495">
        <f>ABS(E1495-F1495)</f>
        <v/>
      </c>
      <c r="H1495">
        <f>IF(G1495=0,"Yes","No")</f>
        <v/>
      </c>
      <c r="I1495" t="inlineStr">
        <is>
          <t>Partial</t>
        </is>
      </c>
      <c r="J1495">
        <f>IF(I1495="","",IF(AND(I1495=C1495,I1495=D1495),"Both",IF(I1495=C1495,"Opus",IF(I1495=D1495,"Sonnet","Neither"))))</f>
        <v/>
      </c>
    </row>
    <row r="1496">
      <c r="A1496" t="inlineStr">
        <is>
          <t>R405</t>
        </is>
      </c>
      <c r="B1496" t="inlineStr">
        <is>
          <t>Q7</t>
        </is>
      </c>
      <c r="C1496" t="inlineStr">
        <is>
          <t>Partial</t>
        </is>
      </c>
      <c r="D1496" t="inlineStr">
        <is>
          <t>Yes</t>
        </is>
      </c>
      <c r="E1496">
        <f>VLOOKUP(C1496,CategoryMap,2,0)</f>
        <v/>
      </c>
      <c r="F1496">
        <f>VLOOKUP(D1496,CategoryMap,2,0)</f>
        <v/>
      </c>
      <c r="G1496">
        <f>ABS(E1496-F1496)</f>
        <v/>
      </c>
      <c r="H1496">
        <f>IF(G1496=0,"Yes","No")</f>
        <v/>
      </c>
      <c r="I1496" t="inlineStr">
        <is>
          <t>Partial</t>
        </is>
      </c>
      <c r="J1496">
        <f>IF(I1496="","",IF(AND(I1496=C1496,I1496=D1496),"Both",IF(I1496=C1496,"Opus",IF(I1496=D1496,"Sonnet","Neither"))))</f>
        <v/>
      </c>
    </row>
    <row r="1497">
      <c r="A1497" t="inlineStr">
        <is>
          <t>R405</t>
        </is>
      </c>
      <c r="B1497" t="inlineStr">
        <is>
          <t>Q8</t>
        </is>
      </c>
      <c r="C1497" t="inlineStr">
        <is>
          <t>Partial</t>
        </is>
      </c>
      <c r="D1497" t="inlineStr">
        <is>
          <t>No</t>
        </is>
      </c>
      <c r="E1497">
        <f>VLOOKUP(C1497,CategoryMap,2,0)</f>
        <v/>
      </c>
      <c r="F1497">
        <f>VLOOKUP(D1497,CategoryMap,2,0)</f>
        <v/>
      </c>
      <c r="G1497">
        <f>ABS(E1497-F1497)</f>
        <v/>
      </c>
      <c r="H1497">
        <f>IF(G1497=0,"Yes","No")</f>
        <v/>
      </c>
      <c r="I1497" t="inlineStr">
        <is>
          <t>Partial</t>
        </is>
      </c>
      <c r="J1497">
        <f>IF(I1497="","",IF(AND(I1497=C1497,I1497=D1497),"Both",IF(I1497=C1497,"Opus",IF(I1497=D1497,"Sonnet","Neither"))))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Code</t>
        </is>
      </c>
    </row>
    <row r="2">
      <c r="A2" t="inlineStr">
        <is>
          <t>No</t>
        </is>
      </c>
      <c r="B2" t="n">
        <v>0</v>
      </c>
    </row>
    <row r="3">
      <c r="A3" t="inlineStr">
        <is>
          <t>Partial</t>
        </is>
      </c>
      <c r="B3" t="n">
        <v>1</v>
      </c>
    </row>
    <row r="4">
      <c r="A4" t="inlineStr">
        <is>
          <t>Yes</t>
        </is>
      </c>
      <c r="B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Weight matrix (linear-weighted kappa) — distance between categories / 2</t>
        </is>
      </c>
    </row>
    <row r="3">
      <c r="A3" s="3" t="inlineStr">
        <is>
          <t>Opus \ Sonnet</t>
        </is>
      </c>
      <c r="B3" s="3" t="inlineStr">
        <is>
          <t>No</t>
        </is>
      </c>
      <c r="C3" s="3" t="inlineStr">
        <is>
          <t>Partial</t>
        </is>
      </c>
      <c r="D3" s="3" t="inlineStr">
        <is>
          <t>Yes</t>
        </is>
      </c>
    </row>
    <row r="4">
      <c r="A4" s="4" t="inlineStr">
        <is>
          <t>No</t>
        </is>
      </c>
      <c r="B4">
        <f>ABS(0-0)/2</f>
        <v/>
      </c>
      <c r="C4">
        <f>ABS(0-1)/2</f>
        <v/>
      </c>
      <c r="D4">
        <f>ABS(0-2)/2</f>
        <v/>
      </c>
    </row>
    <row r="5">
      <c r="A5" s="4" t="inlineStr">
        <is>
          <t>Partial</t>
        </is>
      </c>
      <c r="B5">
        <f>ABS(1-0)/2</f>
        <v/>
      </c>
      <c r="C5">
        <f>ABS(1-1)/2</f>
        <v/>
      </c>
      <c r="D5">
        <f>ABS(1-2)/2</f>
        <v/>
      </c>
    </row>
    <row r="6">
      <c r="A6" s="4" t="inlineStr">
        <is>
          <t>Yes</t>
        </is>
      </c>
      <c r="B6">
        <f>ABS(2-0)/2</f>
        <v/>
      </c>
      <c r="C6">
        <f>ABS(2-1)/2</f>
        <v/>
      </c>
      <c r="D6">
        <f>ABS(2-2)/2</f>
        <v/>
      </c>
    </row>
    <row r="8">
      <c r="A8" s="5" t="inlineStr">
        <is>
          <t>Weight 0 = exact agreement; 0.5 = 1-step disagreement (e.g., Partial vs. Yes); 1 = 2-step disagreement (No vs. Yes).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4" customWidth="1" min="5" max="5"/>
  </cols>
  <sheetData>
    <row r="1">
      <c r="A1" s="4" t="inlineStr">
        <is>
          <t>Opus × Sonnet confusion matrices, by question (rows=Opus, columns=Sonnet)</t>
        </is>
      </c>
    </row>
    <row r="3">
      <c r="A3" s="4" t="inlineStr">
        <is>
          <t>Q1</t>
        </is>
      </c>
    </row>
    <row r="4">
      <c r="A4" s="3" t="inlineStr">
        <is>
          <t>Opus \ Sonnet</t>
        </is>
      </c>
      <c r="B4" s="3" t="inlineStr">
        <is>
          <t>No</t>
        </is>
      </c>
      <c r="C4" s="3" t="inlineStr">
        <is>
          <t>Partial</t>
        </is>
      </c>
      <c r="D4" s="3" t="inlineStr">
        <is>
          <t>Yes</t>
        </is>
      </c>
      <c r="E4" s="3" t="inlineStr">
        <is>
          <t>Total (Opus)</t>
        </is>
      </c>
    </row>
    <row r="5">
      <c r="A5" s="4" t="inlineStr">
        <is>
          <t>No</t>
        </is>
      </c>
      <c r="B5">
        <f>COUNTIFS(Data!$B$2:$B$1497,"Q1",Data!$E$2:$E$1497,0,Data!$F$2:$F$1497,0)</f>
        <v/>
      </c>
      <c r="C5">
        <f>COUNTIFS(Data!$B$2:$B$1497,"Q1",Data!$E$2:$E$1497,0,Data!$F$2:$F$1497,1)</f>
        <v/>
      </c>
      <c r="D5">
        <f>COUNTIFS(Data!$B$2:$B$1497,"Q1",Data!$E$2:$E$1497,0,Data!$F$2:$F$1497,2)</f>
        <v/>
      </c>
      <c r="E5">
        <f>SUM(B5:D5)</f>
        <v/>
      </c>
    </row>
    <row r="6">
      <c r="A6" s="4" t="inlineStr">
        <is>
          <t>Partial</t>
        </is>
      </c>
      <c r="B6">
        <f>COUNTIFS(Data!$B$2:$B$1497,"Q1",Data!$E$2:$E$1497,1,Data!$F$2:$F$1497,0)</f>
        <v/>
      </c>
      <c r="C6">
        <f>COUNTIFS(Data!$B$2:$B$1497,"Q1",Data!$E$2:$E$1497,1,Data!$F$2:$F$1497,1)</f>
        <v/>
      </c>
      <c r="D6">
        <f>COUNTIFS(Data!$B$2:$B$1497,"Q1",Data!$E$2:$E$1497,1,Data!$F$2:$F$1497,2)</f>
        <v/>
      </c>
      <c r="E6">
        <f>SUM(B6:D6)</f>
        <v/>
      </c>
    </row>
    <row r="7">
      <c r="A7" s="4" t="inlineStr">
        <is>
          <t>Yes</t>
        </is>
      </c>
      <c r="B7">
        <f>COUNTIFS(Data!$B$2:$B$1497,"Q1",Data!$E$2:$E$1497,2,Data!$F$2:$F$1497,0)</f>
        <v/>
      </c>
      <c r="C7">
        <f>COUNTIFS(Data!$B$2:$B$1497,"Q1",Data!$E$2:$E$1497,2,Data!$F$2:$F$1497,1)</f>
        <v/>
      </c>
      <c r="D7">
        <f>COUNTIFS(Data!$B$2:$B$1497,"Q1",Data!$E$2:$E$1497,2,Data!$F$2:$F$1497,2)</f>
        <v/>
      </c>
      <c r="E7">
        <f>SUM(B7:D7)</f>
        <v/>
      </c>
    </row>
    <row r="8">
      <c r="A8" s="4" t="inlineStr">
        <is>
          <t>Total (Sonnet)</t>
        </is>
      </c>
      <c r="B8">
        <f>SUM(B5:B7)</f>
        <v/>
      </c>
      <c r="C8">
        <f>SUM(C5:C7)</f>
        <v/>
      </c>
      <c r="D8">
        <f>SUM(D5:D7)</f>
        <v/>
      </c>
      <c r="E8">
        <f>SUM(B8:D8)</f>
        <v/>
      </c>
    </row>
    <row r="10">
      <c r="A10" s="4" t="inlineStr">
        <is>
          <t>Q2</t>
        </is>
      </c>
    </row>
    <row r="11">
      <c r="A11" s="3" t="inlineStr">
        <is>
          <t>Opus \ Sonnet</t>
        </is>
      </c>
      <c r="B11" s="3" t="inlineStr">
        <is>
          <t>No</t>
        </is>
      </c>
      <c r="C11" s="3" t="inlineStr">
        <is>
          <t>Partial</t>
        </is>
      </c>
      <c r="D11" s="3" t="inlineStr">
        <is>
          <t>Yes</t>
        </is>
      </c>
      <c r="E11" s="3" t="inlineStr">
        <is>
          <t>Total (Opus)</t>
        </is>
      </c>
    </row>
    <row r="12">
      <c r="A12" s="4" t="inlineStr">
        <is>
          <t>No</t>
        </is>
      </c>
      <c r="B12">
        <f>COUNTIFS(Data!$B$2:$B$1497,"Q2",Data!$E$2:$E$1497,0,Data!$F$2:$F$1497,0)</f>
        <v/>
      </c>
      <c r="C12">
        <f>COUNTIFS(Data!$B$2:$B$1497,"Q2",Data!$E$2:$E$1497,0,Data!$F$2:$F$1497,1)</f>
        <v/>
      </c>
      <c r="D12">
        <f>COUNTIFS(Data!$B$2:$B$1497,"Q2",Data!$E$2:$E$1497,0,Data!$F$2:$F$1497,2)</f>
        <v/>
      </c>
      <c r="E12">
        <f>SUM(B12:D12)</f>
        <v/>
      </c>
    </row>
    <row r="13">
      <c r="A13" s="4" t="inlineStr">
        <is>
          <t>Partial</t>
        </is>
      </c>
      <c r="B13">
        <f>COUNTIFS(Data!$B$2:$B$1497,"Q2",Data!$E$2:$E$1497,1,Data!$F$2:$F$1497,0)</f>
        <v/>
      </c>
      <c r="C13">
        <f>COUNTIFS(Data!$B$2:$B$1497,"Q2",Data!$E$2:$E$1497,1,Data!$F$2:$F$1497,1)</f>
        <v/>
      </c>
      <c r="D13">
        <f>COUNTIFS(Data!$B$2:$B$1497,"Q2",Data!$E$2:$E$1497,1,Data!$F$2:$F$1497,2)</f>
        <v/>
      </c>
      <c r="E13">
        <f>SUM(B13:D13)</f>
        <v/>
      </c>
    </row>
    <row r="14">
      <c r="A14" s="4" t="inlineStr">
        <is>
          <t>Yes</t>
        </is>
      </c>
      <c r="B14">
        <f>COUNTIFS(Data!$B$2:$B$1497,"Q2",Data!$E$2:$E$1497,2,Data!$F$2:$F$1497,0)</f>
        <v/>
      </c>
      <c r="C14">
        <f>COUNTIFS(Data!$B$2:$B$1497,"Q2",Data!$E$2:$E$1497,2,Data!$F$2:$F$1497,1)</f>
        <v/>
      </c>
      <c r="D14">
        <f>COUNTIFS(Data!$B$2:$B$1497,"Q2",Data!$E$2:$E$1497,2,Data!$F$2:$F$1497,2)</f>
        <v/>
      </c>
      <c r="E14">
        <f>SUM(B14:D14)</f>
        <v/>
      </c>
    </row>
    <row r="15">
      <c r="A15" s="4" t="inlineStr">
        <is>
          <t>Total (Sonnet)</t>
        </is>
      </c>
      <c r="B15">
        <f>SUM(B12:B14)</f>
        <v/>
      </c>
      <c r="C15">
        <f>SUM(C12:C14)</f>
        <v/>
      </c>
      <c r="D15">
        <f>SUM(D12:D14)</f>
        <v/>
      </c>
      <c r="E15">
        <f>SUM(B15:D15)</f>
        <v/>
      </c>
    </row>
    <row r="17">
      <c r="A17" s="4" t="inlineStr">
        <is>
          <t>Q3</t>
        </is>
      </c>
    </row>
    <row r="18">
      <c r="A18" s="3" t="inlineStr">
        <is>
          <t>Opus \ Sonnet</t>
        </is>
      </c>
      <c r="B18" s="3" t="inlineStr">
        <is>
          <t>No</t>
        </is>
      </c>
      <c r="C18" s="3" t="inlineStr">
        <is>
          <t>Partial</t>
        </is>
      </c>
      <c r="D18" s="3" t="inlineStr">
        <is>
          <t>Yes</t>
        </is>
      </c>
      <c r="E18" s="3" t="inlineStr">
        <is>
          <t>Total (Opus)</t>
        </is>
      </c>
    </row>
    <row r="19">
      <c r="A19" s="4" t="inlineStr">
        <is>
          <t>No</t>
        </is>
      </c>
      <c r="B19">
        <f>COUNTIFS(Data!$B$2:$B$1497,"Q3",Data!$E$2:$E$1497,0,Data!$F$2:$F$1497,0)</f>
        <v/>
      </c>
      <c r="C19">
        <f>COUNTIFS(Data!$B$2:$B$1497,"Q3",Data!$E$2:$E$1497,0,Data!$F$2:$F$1497,1)</f>
        <v/>
      </c>
      <c r="D19">
        <f>COUNTIFS(Data!$B$2:$B$1497,"Q3",Data!$E$2:$E$1497,0,Data!$F$2:$F$1497,2)</f>
        <v/>
      </c>
      <c r="E19">
        <f>SUM(B19:D19)</f>
        <v/>
      </c>
    </row>
    <row r="20">
      <c r="A20" s="4" t="inlineStr">
        <is>
          <t>Partial</t>
        </is>
      </c>
      <c r="B20">
        <f>COUNTIFS(Data!$B$2:$B$1497,"Q3",Data!$E$2:$E$1497,1,Data!$F$2:$F$1497,0)</f>
        <v/>
      </c>
      <c r="C20">
        <f>COUNTIFS(Data!$B$2:$B$1497,"Q3",Data!$E$2:$E$1497,1,Data!$F$2:$F$1497,1)</f>
        <v/>
      </c>
      <c r="D20">
        <f>COUNTIFS(Data!$B$2:$B$1497,"Q3",Data!$E$2:$E$1497,1,Data!$F$2:$F$1497,2)</f>
        <v/>
      </c>
      <c r="E20">
        <f>SUM(B20:D20)</f>
        <v/>
      </c>
    </row>
    <row r="21">
      <c r="A21" s="4" t="inlineStr">
        <is>
          <t>Yes</t>
        </is>
      </c>
      <c r="B21">
        <f>COUNTIFS(Data!$B$2:$B$1497,"Q3",Data!$E$2:$E$1497,2,Data!$F$2:$F$1497,0)</f>
        <v/>
      </c>
      <c r="C21">
        <f>COUNTIFS(Data!$B$2:$B$1497,"Q3",Data!$E$2:$E$1497,2,Data!$F$2:$F$1497,1)</f>
        <v/>
      </c>
      <c r="D21">
        <f>COUNTIFS(Data!$B$2:$B$1497,"Q3",Data!$E$2:$E$1497,2,Data!$F$2:$F$1497,2)</f>
        <v/>
      </c>
      <c r="E21">
        <f>SUM(B21:D21)</f>
        <v/>
      </c>
    </row>
    <row r="22">
      <c r="A22" s="4" t="inlineStr">
        <is>
          <t>Total (Sonnet)</t>
        </is>
      </c>
      <c r="B22">
        <f>SUM(B19:B21)</f>
        <v/>
      </c>
      <c r="C22">
        <f>SUM(C19:C21)</f>
        <v/>
      </c>
      <c r="D22">
        <f>SUM(D19:D21)</f>
        <v/>
      </c>
      <c r="E22">
        <f>SUM(B22:D22)</f>
        <v/>
      </c>
    </row>
    <row r="24">
      <c r="A24" s="4" t="inlineStr">
        <is>
          <t>Q4</t>
        </is>
      </c>
    </row>
    <row r="25">
      <c r="A25" s="3" t="inlineStr">
        <is>
          <t>Opus \ Sonnet</t>
        </is>
      </c>
      <c r="B25" s="3" t="inlineStr">
        <is>
          <t>No</t>
        </is>
      </c>
      <c r="C25" s="3" t="inlineStr">
        <is>
          <t>Partial</t>
        </is>
      </c>
      <c r="D25" s="3" t="inlineStr">
        <is>
          <t>Yes</t>
        </is>
      </c>
      <c r="E25" s="3" t="inlineStr">
        <is>
          <t>Total (Opus)</t>
        </is>
      </c>
    </row>
    <row r="26">
      <c r="A26" s="4" t="inlineStr">
        <is>
          <t>No</t>
        </is>
      </c>
      <c r="B26">
        <f>COUNTIFS(Data!$B$2:$B$1497,"Q4",Data!$E$2:$E$1497,0,Data!$F$2:$F$1497,0)</f>
        <v/>
      </c>
      <c r="C26">
        <f>COUNTIFS(Data!$B$2:$B$1497,"Q4",Data!$E$2:$E$1497,0,Data!$F$2:$F$1497,1)</f>
        <v/>
      </c>
      <c r="D26">
        <f>COUNTIFS(Data!$B$2:$B$1497,"Q4",Data!$E$2:$E$1497,0,Data!$F$2:$F$1497,2)</f>
        <v/>
      </c>
      <c r="E26">
        <f>SUM(B26:D26)</f>
        <v/>
      </c>
    </row>
    <row r="27">
      <c r="A27" s="4" t="inlineStr">
        <is>
          <t>Partial</t>
        </is>
      </c>
      <c r="B27">
        <f>COUNTIFS(Data!$B$2:$B$1497,"Q4",Data!$E$2:$E$1497,1,Data!$F$2:$F$1497,0)</f>
        <v/>
      </c>
      <c r="C27">
        <f>COUNTIFS(Data!$B$2:$B$1497,"Q4",Data!$E$2:$E$1497,1,Data!$F$2:$F$1497,1)</f>
        <v/>
      </c>
      <c r="D27">
        <f>COUNTIFS(Data!$B$2:$B$1497,"Q4",Data!$E$2:$E$1497,1,Data!$F$2:$F$1497,2)</f>
        <v/>
      </c>
      <c r="E27">
        <f>SUM(B27:D27)</f>
        <v/>
      </c>
    </row>
    <row r="28">
      <c r="A28" s="4" t="inlineStr">
        <is>
          <t>Yes</t>
        </is>
      </c>
      <c r="B28">
        <f>COUNTIFS(Data!$B$2:$B$1497,"Q4",Data!$E$2:$E$1497,2,Data!$F$2:$F$1497,0)</f>
        <v/>
      </c>
      <c r="C28">
        <f>COUNTIFS(Data!$B$2:$B$1497,"Q4",Data!$E$2:$E$1497,2,Data!$F$2:$F$1497,1)</f>
        <v/>
      </c>
      <c r="D28">
        <f>COUNTIFS(Data!$B$2:$B$1497,"Q4",Data!$E$2:$E$1497,2,Data!$F$2:$F$1497,2)</f>
        <v/>
      </c>
      <c r="E28">
        <f>SUM(B28:D28)</f>
        <v/>
      </c>
    </row>
    <row r="29">
      <c r="A29" s="4" t="inlineStr">
        <is>
          <t>Total (Sonnet)</t>
        </is>
      </c>
      <c r="B29">
        <f>SUM(B26:B28)</f>
        <v/>
      </c>
      <c r="C29">
        <f>SUM(C26:C28)</f>
        <v/>
      </c>
      <c r="D29">
        <f>SUM(D26:D28)</f>
        <v/>
      </c>
      <c r="E29">
        <f>SUM(B29:D29)</f>
        <v/>
      </c>
    </row>
    <row r="31">
      <c r="A31" s="4" t="inlineStr">
        <is>
          <t>Q5</t>
        </is>
      </c>
    </row>
    <row r="32">
      <c r="A32" s="3" t="inlineStr">
        <is>
          <t>Opus \ Sonnet</t>
        </is>
      </c>
      <c r="B32" s="3" t="inlineStr">
        <is>
          <t>No</t>
        </is>
      </c>
      <c r="C32" s="3" t="inlineStr">
        <is>
          <t>Partial</t>
        </is>
      </c>
      <c r="D32" s="3" t="inlineStr">
        <is>
          <t>Yes</t>
        </is>
      </c>
      <c r="E32" s="3" t="inlineStr">
        <is>
          <t>Total (Opus)</t>
        </is>
      </c>
    </row>
    <row r="33">
      <c r="A33" s="4" t="inlineStr">
        <is>
          <t>No</t>
        </is>
      </c>
      <c r="B33">
        <f>COUNTIFS(Data!$B$2:$B$1497,"Q5",Data!$E$2:$E$1497,0,Data!$F$2:$F$1497,0)</f>
        <v/>
      </c>
      <c r="C33">
        <f>COUNTIFS(Data!$B$2:$B$1497,"Q5",Data!$E$2:$E$1497,0,Data!$F$2:$F$1497,1)</f>
        <v/>
      </c>
      <c r="D33">
        <f>COUNTIFS(Data!$B$2:$B$1497,"Q5",Data!$E$2:$E$1497,0,Data!$F$2:$F$1497,2)</f>
        <v/>
      </c>
      <c r="E33">
        <f>SUM(B33:D33)</f>
        <v/>
      </c>
    </row>
    <row r="34">
      <c r="A34" s="4" t="inlineStr">
        <is>
          <t>Partial</t>
        </is>
      </c>
      <c r="B34">
        <f>COUNTIFS(Data!$B$2:$B$1497,"Q5",Data!$E$2:$E$1497,1,Data!$F$2:$F$1497,0)</f>
        <v/>
      </c>
      <c r="C34">
        <f>COUNTIFS(Data!$B$2:$B$1497,"Q5",Data!$E$2:$E$1497,1,Data!$F$2:$F$1497,1)</f>
        <v/>
      </c>
      <c r="D34">
        <f>COUNTIFS(Data!$B$2:$B$1497,"Q5",Data!$E$2:$E$1497,1,Data!$F$2:$F$1497,2)</f>
        <v/>
      </c>
      <c r="E34">
        <f>SUM(B34:D34)</f>
        <v/>
      </c>
    </row>
    <row r="35">
      <c r="A35" s="4" t="inlineStr">
        <is>
          <t>Yes</t>
        </is>
      </c>
      <c r="B35">
        <f>COUNTIFS(Data!$B$2:$B$1497,"Q5",Data!$E$2:$E$1497,2,Data!$F$2:$F$1497,0)</f>
        <v/>
      </c>
      <c r="C35">
        <f>COUNTIFS(Data!$B$2:$B$1497,"Q5",Data!$E$2:$E$1497,2,Data!$F$2:$F$1497,1)</f>
        <v/>
      </c>
      <c r="D35">
        <f>COUNTIFS(Data!$B$2:$B$1497,"Q5",Data!$E$2:$E$1497,2,Data!$F$2:$F$1497,2)</f>
        <v/>
      </c>
      <c r="E35">
        <f>SUM(B35:D35)</f>
        <v/>
      </c>
    </row>
    <row r="36">
      <c r="A36" s="4" t="inlineStr">
        <is>
          <t>Total (Sonnet)</t>
        </is>
      </c>
      <c r="B36">
        <f>SUM(B33:B35)</f>
        <v/>
      </c>
      <c r="C36">
        <f>SUM(C33:C35)</f>
        <v/>
      </c>
      <c r="D36">
        <f>SUM(D33:D35)</f>
        <v/>
      </c>
      <c r="E36">
        <f>SUM(B36:D36)</f>
        <v/>
      </c>
    </row>
    <row r="38">
      <c r="A38" s="4" t="inlineStr">
        <is>
          <t>Q6</t>
        </is>
      </c>
    </row>
    <row r="39">
      <c r="A39" s="3" t="inlineStr">
        <is>
          <t>Opus \ Sonnet</t>
        </is>
      </c>
      <c r="B39" s="3" t="inlineStr">
        <is>
          <t>No</t>
        </is>
      </c>
      <c r="C39" s="3" t="inlineStr">
        <is>
          <t>Partial</t>
        </is>
      </c>
      <c r="D39" s="3" t="inlineStr">
        <is>
          <t>Yes</t>
        </is>
      </c>
      <c r="E39" s="3" t="inlineStr">
        <is>
          <t>Total (Opus)</t>
        </is>
      </c>
    </row>
    <row r="40">
      <c r="A40" s="4" t="inlineStr">
        <is>
          <t>No</t>
        </is>
      </c>
      <c r="B40">
        <f>COUNTIFS(Data!$B$2:$B$1497,"Q6",Data!$E$2:$E$1497,0,Data!$F$2:$F$1497,0)</f>
        <v/>
      </c>
      <c r="C40">
        <f>COUNTIFS(Data!$B$2:$B$1497,"Q6",Data!$E$2:$E$1497,0,Data!$F$2:$F$1497,1)</f>
        <v/>
      </c>
      <c r="D40">
        <f>COUNTIFS(Data!$B$2:$B$1497,"Q6",Data!$E$2:$E$1497,0,Data!$F$2:$F$1497,2)</f>
        <v/>
      </c>
      <c r="E40">
        <f>SUM(B40:D40)</f>
        <v/>
      </c>
    </row>
    <row r="41">
      <c r="A41" s="4" t="inlineStr">
        <is>
          <t>Partial</t>
        </is>
      </c>
      <c r="B41">
        <f>COUNTIFS(Data!$B$2:$B$1497,"Q6",Data!$E$2:$E$1497,1,Data!$F$2:$F$1497,0)</f>
        <v/>
      </c>
      <c r="C41">
        <f>COUNTIFS(Data!$B$2:$B$1497,"Q6",Data!$E$2:$E$1497,1,Data!$F$2:$F$1497,1)</f>
        <v/>
      </c>
      <c r="D41">
        <f>COUNTIFS(Data!$B$2:$B$1497,"Q6",Data!$E$2:$E$1497,1,Data!$F$2:$F$1497,2)</f>
        <v/>
      </c>
      <c r="E41">
        <f>SUM(B41:D41)</f>
        <v/>
      </c>
    </row>
    <row r="42">
      <c r="A42" s="4" t="inlineStr">
        <is>
          <t>Yes</t>
        </is>
      </c>
      <c r="B42">
        <f>COUNTIFS(Data!$B$2:$B$1497,"Q6",Data!$E$2:$E$1497,2,Data!$F$2:$F$1497,0)</f>
        <v/>
      </c>
      <c r="C42">
        <f>COUNTIFS(Data!$B$2:$B$1497,"Q6",Data!$E$2:$E$1497,2,Data!$F$2:$F$1497,1)</f>
        <v/>
      </c>
      <c r="D42">
        <f>COUNTIFS(Data!$B$2:$B$1497,"Q6",Data!$E$2:$E$1497,2,Data!$F$2:$F$1497,2)</f>
        <v/>
      </c>
      <c r="E42">
        <f>SUM(B42:D42)</f>
        <v/>
      </c>
    </row>
    <row r="43">
      <c r="A43" s="4" t="inlineStr">
        <is>
          <t>Total (Sonnet)</t>
        </is>
      </c>
      <c r="B43">
        <f>SUM(B40:B42)</f>
        <v/>
      </c>
      <c r="C43">
        <f>SUM(C40:C42)</f>
        <v/>
      </c>
      <c r="D43">
        <f>SUM(D40:D42)</f>
        <v/>
      </c>
      <c r="E43">
        <f>SUM(B43:D43)</f>
        <v/>
      </c>
    </row>
    <row r="45">
      <c r="A45" s="4" t="inlineStr">
        <is>
          <t>Q7</t>
        </is>
      </c>
    </row>
    <row r="46">
      <c r="A46" s="3" t="inlineStr">
        <is>
          <t>Opus \ Sonnet</t>
        </is>
      </c>
      <c r="B46" s="3" t="inlineStr">
        <is>
          <t>No</t>
        </is>
      </c>
      <c r="C46" s="3" t="inlineStr">
        <is>
          <t>Partial</t>
        </is>
      </c>
      <c r="D46" s="3" t="inlineStr">
        <is>
          <t>Yes</t>
        </is>
      </c>
      <c r="E46" s="3" t="inlineStr">
        <is>
          <t>Total (Opus)</t>
        </is>
      </c>
    </row>
    <row r="47">
      <c r="A47" s="4" t="inlineStr">
        <is>
          <t>No</t>
        </is>
      </c>
      <c r="B47">
        <f>COUNTIFS(Data!$B$2:$B$1497,"Q7",Data!$E$2:$E$1497,0,Data!$F$2:$F$1497,0)</f>
        <v/>
      </c>
      <c r="C47">
        <f>COUNTIFS(Data!$B$2:$B$1497,"Q7",Data!$E$2:$E$1497,0,Data!$F$2:$F$1497,1)</f>
        <v/>
      </c>
      <c r="D47">
        <f>COUNTIFS(Data!$B$2:$B$1497,"Q7",Data!$E$2:$E$1497,0,Data!$F$2:$F$1497,2)</f>
        <v/>
      </c>
      <c r="E47">
        <f>SUM(B47:D47)</f>
        <v/>
      </c>
    </row>
    <row r="48">
      <c r="A48" s="4" t="inlineStr">
        <is>
          <t>Partial</t>
        </is>
      </c>
      <c r="B48">
        <f>COUNTIFS(Data!$B$2:$B$1497,"Q7",Data!$E$2:$E$1497,1,Data!$F$2:$F$1497,0)</f>
        <v/>
      </c>
      <c r="C48">
        <f>COUNTIFS(Data!$B$2:$B$1497,"Q7",Data!$E$2:$E$1497,1,Data!$F$2:$F$1497,1)</f>
        <v/>
      </c>
      <c r="D48">
        <f>COUNTIFS(Data!$B$2:$B$1497,"Q7",Data!$E$2:$E$1497,1,Data!$F$2:$F$1497,2)</f>
        <v/>
      </c>
      <c r="E48">
        <f>SUM(B48:D48)</f>
        <v/>
      </c>
    </row>
    <row r="49">
      <c r="A49" s="4" t="inlineStr">
        <is>
          <t>Yes</t>
        </is>
      </c>
      <c r="B49">
        <f>COUNTIFS(Data!$B$2:$B$1497,"Q7",Data!$E$2:$E$1497,2,Data!$F$2:$F$1497,0)</f>
        <v/>
      </c>
      <c r="C49">
        <f>COUNTIFS(Data!$B$2:$B$1497,"Q7",Data!$E$2:$E$1497,2,Data!$F$2:$F$1497,1)</f>
        <v/>
      </c>
      <c r="D49">
        <f>COUNTIFS(Data!$B$2:$B$1497,"Q7",Data!$E$2:$E$1497,2,Data!$F$2:$F$1497,2)</f>
        <v/>
      </c>
      <c r="E49">
        <f>SUM(B49:D49)</f>
        <v/>
      </c>
    </row>
    <row r="50">
      <c r="A50" s="4" t="inlineStr">
        <is>
          <t>Total (Sonnet)</t>
        </is>
      </c>
      <c r="B50">
        <f>SUM(B47:B49)</f>
        <v/>
      </c>
      <c r="C50">
        <f>SUM(C47:C49)</f>
        <v/>
      </c>
      <c r="D50">
        <f>SUM(D47:D49)</f>
        <v/>
      </c>
      <c r="E50">
        <f>SUM(B50:D50)</f>
        <v/>
      </c>
    </row>
    <row r="52">
      <c r="A52" s="4" t="inlineStr">
        <is>
          <t>Q8</t>
        </is>
      </c>
    </row>
    <row r="53">
      <c r="A53" s="3" t="inlineStr">
        <is>
          <t>Opus \ Sonnet</t>
        </is>
      </c>
      <c r="B53" s="3" t="inlineStr">
        <is>
          <t>No</t>
        </is>
      </c>
      <c r="C53" s="3" t="inlineStr">
        <is>
          <t>Partial</t>
        </is>
      </c>
      <c r="D53" s="3" t="inlineStr">
        <is>
          <t>Yes</t>
        </is>
      </c>
      <c r="E53" s="3" t="inlineStr">
        <is>
          <t>Total (Opus)</t>
        </is>
      </c>
    </row>
    <row r="54">
      <c r="A54" s="4" t="inlineStr">
        <is>
          <t>No</t>
        </is>
      </c>
      <c r="B54">
        <f>COUNTIFS(Data!$B$2:$B$1497,"Q8",Data!$E$2:$E$1497,0,Data!$F$2:$F$1497,0)</f>
        <v/>
      </c>
      <c r="C54">
        <f>COUNTIFS(Data!$B$2:$B$1497,"Q8",Data!$E$2:$E$1497,0,Data!$F$2:$F$1497,1)</f>
        <v/>
      </c>
      <c r="D54">
        <f>COUNTIFS(Data!$B$2:$B$1497,"Q8",Data!$E$2:$E$1497,0,Data!$F$2:$F$1497,2)</f>
        <v/>
      </c>
      <c r="E54">
        <f>SUM(B54:D54)</f>
        <v/>
      </c>
    </row>
    <row r="55">
      <c r="A55" s="4" t="inlineStr">
        <is>
          <t>Partial</t>
        </is>
      </c>
      <c r="B55">
        <f>COUNTIFS(Data!$B$2:$B$1497,"Q8",Data!$E$2:$E$1497,1,Data!$F$2:$F$1497,0)</f>
        <v/>
      </c>
      <c r="C55">
        <f>COUNTIFS(Data!$B$2:$B$1497,"Q8",Data!$E$2:$E$1497,1,Data!$F$2:$F$1497,1)</f>
        <v/>
      </c>
      <c r="D55">
        <f>COUNTIFS(Data!$B$2:$B$1497,"Q8",Data!$E$2:$E$1497,1,Data!$F$2:$F$1497,2)</f>
        <v/>
      </c>
      <c r="E55">
        <f>SUM(B55:D55)</f>
        <v/>
      </c>
    </row>
    <row r="56">
      <c r="A56" s="4" t="inlineStr">
        <is>
          <t>Yes</t>
        </is>
      </c>
      <c r="B56">
        <f>COUNTIFS(Data!$B$2:$B$1497,"Q8",Data!$E$2:$E$1497,2,Data!$F$2:$F$1497,0)</f>
        <v/>
      </c>
      <c r="C56">
        <f>COUNTIFS(Data!$B$2:$B$1497,"Q8",Data!$E$2:$E$1497,2,Data!$F$2:$F$1497,1)</f>
        <v/>
      </c>
      <c r="D56">
        <f>COUNTIFS(Data!$B$2:$B$1497,"Q8",Data!$E$2:$E$1497,2,Data!$F$2:$F$1497,2)</f>
        <v/>
      </c>
      <c r="E56">
        <f>SUM(B56:D56)</f>
        <v/>
      </c>
    </row>
    <row r="57">
      <c r="A57" s="4" t="inlineStr">
        <is>
          <t>Total (Sonnet)</t>
        </is>
      </c>
      <c r="B57">
        <f>SUM(B54:B56)</f>
        <v/>
      </c>
      <c r="C57">
        <f>SUM(C54:C56)</f>
        <v/>
      </c>
      <c r="D57">
        <f>SUM(D54:D56)</f>
        <v/>
      </c>
      <c r="E57">
        <f>SUM(B57:D57)</f>
        <v/>
      </c>
    </row>
    <row r="59">
      <c r="A59" s="4" t="inlineStr">
        <is>
          <t>Overall (all questions — Q1 to Q8 combined)</t>
        </is>
      </c>
    </row>
    <row r="60">
      <c r="A60" s="3" t="inlineStr">
        <is>
          <t>Opus \ Sonnet</t>
        </is>
      </c>
      <c r="B60" s="3" t="inlineStr">
        <is>
          <t>No</t>
        </is>
      </c>
      <c r="C60" s="3" t="inlineStr">
        <is>
          <t>Partial</t>
        </is>
      </c>
      <c r="D60" s="3" t="inlineStr">
        <is>
          <t>Yes</t>
        </is>
      </c>
      <c r="E60" s="3" t="inlineStr">
        <is>
          <t>Total (Opus)</t>
        </is>
      </c>
    </row>
    <row r="61">
      <c r="A61" s="4" t="inlineStr">
        <is>
          <t>No</t>
        </is>
      </c>
      <c r="B61">
        <f>COUNTIFS(Data!$E$2:$E$1497,0,Data!$F$2:$F$1497,0)</f>
        <v/>
      </c>
      <c r="C61">
        <f>COUNTIFS(Data!$E$2:$E$1497,0,Data!$F$2:$F$1497,1)</f>
        <v/>
      </c>
      <c r="D61">
        <f>COUNTIFS(Data!$E$2:$E$1497,0,Data!$F$2:$F$1497,2)</f>
        <v/>
      </c>
      <c r="E61">
        <f>SUM(B61:D61)</f>
        <v/>
      </c>
    </row>
    <row r="62">
      <c r="A62" s="4" t="inlineStr">
        <is>
          <t>Partial</t>
        </is>
      </c>
      <c r="B62">
        <f>COUNTIFS(Data!$E$2:$E$1497,1,Data!$F$2:$F$1497,0)</f>
        <v/>
      </c>
      <c r="C62">
        <f>COUNTIFS(Data!$E$2:$E$1497,1,Data!$F$2:$F$1497,1)</f>
        <v/>
      </c>
      <c r="D62">
        <f>COUNTIFS(Data!$E$2:$E$1497,1,Data!$F$2:$F$1497,2)</f>
        <v/>
      </c>
      <c r="E62">
        <f>SUM(B62:D62)</f>
        <v/>
      </c>
    </row>
    <row r="63">
      <c r="A63" s="4" t="inlineStr">
        <is>
          <t>Yes</t>
        </is>
      </c>
      <c r="B63">
        <f>COUNTIFS(Data!$E$2:$E$1497,2,Data!$F$2:$F$1497,0)</f>
        <v/>
      </c>
      <c r="C63">
        <f>COUNTIFS(Data!$E$2:$E$1497,2,Data!$F$2:$F$1497,1)</f>
        <v/>
      </c>
      <c r="D63">
        <f>COUNTIFS(Data!$E$2:$E$1497,2,Data!$F$2:$F$1497,2)</f>
        <v/>
      </c>
      <c r="E63">
        <f>SUM(B63:D63)</f>
        <v/>
      </c>
    </row>
    <row r="64">
      <c r="A64" s="4" t="inlineStr">
        <is>
          <t>Total (Sonnet)</t>
        </is>
      </c>
      <c r="B64">
        <f>SUM(B61:B63)</f>
        <v/>
      </c>
      <c r="C64">
        <f>SUM(C61:C63)</f>
        <v/>
      </c>
      <c r="D64">
        <f>SUM(D61:D63)</f>
        <v/>
      </c>
      <c r="E64">
        <f>SUM(B64:D64)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6" customWidth="1" min="3" max="3"/>
    <col width="30" customWidth="1" min="4" max="4"/>
    <col width="16" customWidth="1" min="5" max="5"/>
    <col width="26" customWidth="1" min="6" max="6"/>
  </cols>
  <sheetData>
    <row r="1">
      <c r="A1" s="3" t="inlineStr">
        <is>
          <t>Question</t>
        </is>
      </c>
      <c r="B1" s="3" t="inlineStr">
        <is>
          <t>N</t>
        </is>
      </c>
      <c r="C1" s="3" t="inlineStr">
        <is>
          <t>Do (observed disagreement)</t>
        </is>
      </c>
      <c r="D1" s="3" t="inlineStr">
        <is>
          <t>De (disagreement expected by chance)</t>
        </is>
      </c>
      <c r="E1" s="3" t="inlineStr">
        <is>
          <t>Weighted kappa</t>
        </is>
      </c>
      <c r="F1" s="3" t="inlineStr">
        <is>
          <t>Interpretation (Landis &amp; Koch, 1977)</t>
        </is>
      </c>
    </row>
    <row r="2">
      <c r="A2" t="inlineStr">
        <is>
          <t>Q1</t>
        </is>
      </c>
      <c r="B2">
        <f>Confusion_matrix!E8</f>
        <v/>
      </c>
      <c r="C2">
        <f>SUMPRODUCT(Weights!$B$4:$D$6,Confusion_matrix!B5:D7)/B2</f>
        <v/>
      </c>
      <c r="D2">
        <f>SUMPRODUCT(Weights!$B$4:$D$6,MMULT(Confusion_matrix!E5:E7,Confusion_matrix!B8:D8))/(B2^2)</f>
        <v/>
      </c>
      <c r="E2">
        <f>1-C2/D2</f>
        <v/>
      </c>
      <c r="F2">
        <f>IF(E2&lt;0,"Poor",IF(E2&lt;=0.2,"Slight",IF(E2&lt;=0.4,"Fair",IF(E2&lt;=0.6,"Moderate",IF(E2&lt;=0.8,"Substantial","Almost perfect")))))</f>
        <v/>
      </c>
    </row>
    <row r="3">
      <c r="A3" t="inlineStr">
        <is>
          <t>Q2</t>
        </is>
      </c>
      <c r="B3">
        <f>Confusion_matrix!E15</f>
        <v/>
      </c>
      <c r="C3">
        <f>SUMPRODUCT(Weights!$B$4:$D$6,Confusion_matrix!B12:D14)/B3</f>
        <v/>
      </c>
      <c r="D3">
        <f>SUMPRODUCT(Weights!$B$4:$D$6,MMULT(Confusion_matrix!E12:E14,Confusion_matrix!B15:D15))/(B3^2)</f>
        <v/>
      </c>
      <c r="E3">
        <f>1-C3/D3</f>
        <v/>
      </c>
      <c r="F3">
        <f>IF(E3&lt;0,"Poor",IF(E3&lt;=0.2,"Slight",IF(E3&lt;=0.4,"Fair",IF(E3&lt;=0.6,"Moderate",IF(E3&lt;=0.8,"Substantial","Almost perfect")))))</f>
        <v/>
      </c>
    </row>
    <row r="4">
      <c r="A4" t="inlineStr">
        <is>
          <t>Q3</t>
        </is>
      </c>
      <c r="B4">
        <f>Confusion_matrix!E22</f>
        <v/>
      </c>
      <c r="C4">
        <f>SUMPRODUCT(Weights!$B$4:$D$6,Confusion_matrix!B19:D21)/B4</f>
        <v/>
      </c>
      <c r="D4">
        <f>SUMPRODUCT(Weights!$B$4:$D$6,MMULT(Confusion_matrix!E19:E21,Confusion_matrix!B22:D22))/(B4^2)</f>
        <v/>
      </c>
      <c r="E4">
        <f>1-C4/D4</f>
        <v/>
      </c>
      <c r="F4">
        <f>IF(E4&lt;0,"Poor",IF(E4&lt;=0.2,"Slight",IF(E4&lt;=0.4,"Fair",IF(E4&lt;=0.6,"Moderate",IF(E4&lt;=0.8,"Substantial","Almost perfect")))))</f>
        <v/>
      </c>
    </row>
    <row r="5">
      <c r="A5" t="inlineStr">
        <is>
          <t>Q4</t>
        </is>
      </c>
      <c r="B5">
        <f>Confusion_matrix!E29</f>
        <v/>
      </c>
      <c r="C5">
        <f>SUMPRODUCT(Weights!$B$4:$D$6,Confusion_matrix!B26:D28)/B5</f>
        <v/>
      </c>
      <c r="D5">
        <f>SUMPRODUCT(Weights!$B$4:$D$6,MMULT(Confusion_matrix!E26:E28,Confusion_matrix!B29:D29))/(B5^2)</f>
        <v/>
      </c>
      <c r="E5">
        <f>1-C5/D5</f>
        <v/>
      </c>
      <c r="F5">
        <f>IF(E5&lt;0,"Poor",IF(E5&lt;=0.2,"Slight",IF(E5&lt;=0.4,"Fair",IF(E5&lt;=0.6,"Moderate",IF(E5&lt;=0.8,"Substantial","Almost perfect")))))</f>
        <v/>
      </c>
    </row>
    <row r="6">
      <c r="A6" t="inlineStr">
        <is>
          <t>Q5</t>
        </is>
      </c>
      <c r="B6">
        <f>Confusion_matrix!E36</f>
        <v/>
      </c>
      <c r="C6">
        <f>SUMPRODUCT(Weights!$B$4:$D$6,Confusion_matrix!B33:D35)/B6</f>
        <v/>
      </c>
      <c r="D6">
        <f>SUMPRODUCT(Weights!$B$4:$D$6,MMULT(Confusion_matrix!E33:E35,Confusion_matrix!B36:D36))/(B6^2)</f>
        <v/>
      </c>
      <c r="E6">
        <f>1-C6/D6</f>
        <v/>
      </c>
      <c r="F6">
        <f>IF(E6&lt;0,"Poor",IF(E6&lt;=0.2,"Slight",IF(E6&lt;=0.4,"Fair",IF(E6&lt;=0.6,"Moderate",IF(E6&lt;=0.8,"Substantial","Almost perfect")))))</f>
        <v/>
      </c>
    </row>
    <row r="7">
      <c r="A7" t="inlineStr">
        <is>
          <t>Q6</t>
        </is>
      </c>
      <c r="B7">
        <f>Confusion_matrix!E43</f>
        <v/>
      </c>
      <c r="C7">
        <f>SUMPRODUCT(Weights!$B$4:$D$6,Confusion_matrix!B40:D42)/B7</f>
        <v/>
      </c>
      <c r="D7">
        <f>SUMPRODUCT(Weights!$B$4:$D$6,MMULT(Confusion_matrix!E40:E42,Confusion_matrix!B43:D43))/(B7^2)</f>
        <v/>
      </c>
      <c r="E7">
        <f>1-C7/D7</f>
        <v/>
      </c>
      <c r="F7">
        <f>IF(E7&lt;0,"Poor",IF(E7&lt;=0.2,"Slight",IF(E7&lt;=0.4,"Fair",IF(E7&lt;=0.6,"Moderate",IF(E7&lt;=0.8,"Substantial","Almost perfect")))))</f>
        <v/>
      </c>
    </row>
    <row r="8">
      <c r="A8" t="inlineStr">
        <is>
          <t>Q7</t>
        </is>
      </c>
      <c r="B8">
        <f>Confusion_matrix!E50</f>
        <v/>
      </c>
      <c r="C8">
        <f>SUMPRODUCT(Weights!$B$4:$D$6,Confusion_matrix!B47:D49)/B8</f>
        <v/>
      </c>
      <c r="D8">
        <f>SUMPRODUCT(Weights!$B$4:$D$6,MMULT(Confusion_matrix!E47:E49,Confusion_matrix!B50:D50))/(B8^2)</f>
        <v/>
      </c>
      <c r="E8">
        <f>1-C8/D8</f>
        <v/>
      </c>
      <c r="F8">
        <f>IF(E8&lt;0,"Poor",IF(E8&lt;=0.2,"Slight",IF(E8&lt;=0.4,"Fair",IF(E8&lt;=0.6,"Moderate",IF(E8&lt;=0.8,"Substantial","Almost perfect")))))</f>
        <v/>
      </c>
    </row>
    <row r="9">
      <c r="A9" t="inlineStr">
        <is>
          <t>Q8</t>
        </is>
      </c>
      <c r="B9">
        <f>Confusion_matrix!E57</f>
        <v/>
      </c>
      <c r="C9">
        <f>SUMPRODUCT(Weights!$B$4:$D$6,Confusion_matrix!B54:D56)/B9</f>
        <v/>
      </c>
      <c r="D9">
        <f>SUMPRODUCT(Weights!$B$4:$D$6,MMULT(Confusion_matrix!E54:E56,Confusion_matrix!B57:D57))/(B9^2)</f>
        <v/>
      </c>
      <c r="E9">
        <f>1-C9/D9</f>
        <v/>
      </c>
      <c r="F9">
        <f>IF(E9&lt;0,"Poor",IF(E9&lt;=0.2,"Slight",IF(E9&lt;=0.4,"Fair",IF(E9&lt;=0.6,"Moderate",IF(E9&lt;=0.8,"Substantial","Almost perfect")))))</f>
        <v/>
      </c>
    </row>
    <row r="10">
      <c r="A10" t="inlineStr">
        <is>
          <t>Overall (Q1-Q8)</t>
        </is>
      </c>
      <c r="B10">
        <f>Confusion_matrix!E64</f>
        <v/>
      </c>
      <c r="C10">
        <f>SUMPRODUCT(Weights!$B$4:$D$6,Confusion_matrix!B61:D63)/B10</f>
        <v/>
      </c>
      <c r="D10">
        <f>SUMPRODUCT(Weights!$B$4:$D$6,MMULT(Confusion_matrix!E61:E63,Confusion_matrix!B64:D64))/(B10^2)</f>
        <v/>
      </c>
      <c r="E10">
        <f>1-C10/D10</f>
        <v/>
      </c>
      <c r="F10">
        <f>IF(E10&lt;0,"Poor",IF(E10&lt;=0.2,"Slight",IF(E10&lt;=0.4,"Fair",IF(E10&lt;=0.6,"Moderate",IF(E10&lt;=0.8,"Substantial","Almost perfect")))))</f>
        <v/>
      </c>
    </row>
    <row r="12">
      <c r="A12" s="5" t="inlineStr">
        <is>
          <t>Threshold for gate G3 (Method, 2.7): overall weighted kappa ≥ 0.60.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</cols>
  <sheetData>
    <row r="1" ht="60" customHeight="1">
      <c r="A1" s="5" t="inlineStr">
        <is>
          <t>Kappa by study (8 Q1-Q8 pairs each) — computed by the generating script with the same linear-weighted kappa formula; it is not a worksheet formula here because, with only 8 pairs per row, the per-study confusion matrix would have a zero denominator whenever the study has no disagreement at all — simpler to handle in code than in a formula.</t>
        </is>
      </c>
    </row>
    <row r="3">
      <c r="A3" s="3" t="inlineStr">
        <is>
          <t>Study_ID</t>
        </is>
      </c>
      <c r="B3" s="3" t="inlineStr">
        <is>
          <t>Weighted kappa (8 questions)</t>
        </is>
      </c>
    </row>
    <row r="4">
      <c r="A4" t="inlineStr">
        <is>
          <t>R003</t>
        </is>
      </c>
      <c r="B4" t="n">
        <v>0.3333</v>
      </c>
    </row>
    <row r="5">
      <c r="A5" t="inlineStr">
        <is>
          <t>R006</t>
        </is>
      </c>
      <c r="B5" t="n">
        <v>0.3846</v>
      </c>
    </row>
    <row r="6">
      <c r="A6" t="inlineStr">
        <is>
          <t>R011</t>
        </is>
      </c>
      <c r="B6" t="n">
        <v>0.6</v>
      </c>
    </row>
    <row r="7">
      <c r="A7" t="inlineStr">
        <is>
          <t>R012</t>
        </is>
      </c>
      <c r="B7" t="n">
        <v>0.7895</v>
      </c>
    </row>
    <row r="8">
      <c r="A8" t="inlineStr">
        <is>
          <t>R013</t>
        </is>
      </c>
      <c r="B8" t="n">
        <v>0.7143</v>
      </c>
    </row>
    <row r="9">
      <c r="A9" t="inlineStr">
        <is>
          <t>R017</t>
        </is>
      </c>
      <c r="B9" t="n">
        <v>1</v>
      </c>
    </row>
    <row r="10">
      <c r="A10" t="inlineStr">
        <is>
          <t>R018</t>
        </is>
      </c>
      <c r="B10" t="n">
        <v>1</v>
      </c>
    </row>
    <row r="11">
      <c r="A11" t="inlineStr">
        <is>
          <t>R020</t>
        </is>
      </c>
      <c r="B11" t="n">
        <v>0.4</v>
      </c>
    </row>
    <row r="12">
      <c r="A12" t="inlineStr">
        <is>
          <t>R021</t>
        </is>
      </c>
      <c r="B12" t="n">
        <v>1</v>
      </c>
    </row>
    <row r="13">
      <c r="A13" t="inlineStr">
        <is>
          <t>R022</t>
        </is>
      </c>
      <c r="B13" t="n">
        <v>0.7143</v>
      </c>
    </row>
    <row r="14">
      <c r="A14" t="inlineStr">
        <is>
          <t>R023</t>
        </is>
      </c>
      <c r="B14" t="n">
        <v>0.4286</v>
      </c>
    </row>
    <row r="15">
      <c r="A15" t="inlineStr">
        <is>
          <t>R033</t>
        </is>
      </c>
      <c r="B15" t="n">
        <v>0.25</v>
      </c>
    </row>
    <row r="16">
      <c r="A16" t="inlineStr">
        <is>
          <t>R043</t>
        </is>
      </c>
      <c r="B16" t="n">
        <v>1</v>
      </c>
    </row>
    <row r="17">
      <c r="A17" t="inlineStr">
        <is>
          <t>R045</t>
        </is>
      </c>
      <c r="B17" t="n">
        <v>0.625</v>
      </c>
    </row>
    <row r="18">
      <c r="A18" t="inlineStr">
        <is>
          <t>R049</t>
        </is>
      </c>
      <c r="B18" t="n">
        <v>0.8462</v>
      </c>
    </row>
    <row r="19">
      <c r="A19" t="inlineStr">
        <is>
          <t>R050</t>
        </is>
      </c>
      <c r="B19" t="n">
        <v>0.5</v>
      </c>
    </row>
    <row r="20">
      <c r="A20" t="inlineStr">
        <is>
          <t>R055</t>
        </is>
      </c>
      <c r="B20" t="n">
        <v>0.4286</v>
      </c>
    </row>
    <row r="21">
      <c r="A21" t="inlineStr">
        <is>
          <t>R059</t>
        </is>
      </c>
      <c r="B21" t="n">
        <v>0.4483</v>
      </c>
    </row>
    <row r="22">
      <c r="A22" t="inlineStr">
        <is>
          <t>R060</t>
        </is>
      </c>
      <c r="B22" t="n">
        <v>0.6</v>
      </c>
    </row>
    <row r="23">
      <c r="A23" t="inlineStr">
        <is>
          <t>R061</t>
        </is>
      </c>
      <c r="B23" t="n">
        <v>0.5</v>
      </c>
    </row>
    <row r="24">
      <c r="A24" t="inlineStr">
        <is>
          <t>R062</t>
        </is>
      </c>
      <c r="B24" t="n">
        <v>0.5</v>
      </c>
    </row>
    <row r="25">
      <c r="A25" t="inlineStr">
        <is>
          <t>R063</t>
        </is>
      </c>
      <c r="B25" t="n">
        <v>0.8095</v>
      </c>
    </row>
    <row r="26">
      <c r="A26" t="inlineStr">
        <is>
          <t>R064</t>
        </is>
      </c>
      <c r="B26" t="n">
        <v>0</v>
      </c>
    </row>
    <row r="27">
      <c r="A27" t="inlineStr">
        <is>
          <t>R068</t>
        </is>
      </c>
      <c r="B27" t="n">
        <v>0.1667</v>
      </c>
    </row>
    <row r="28">
      <c r="A28" t="inlineStr">
        <is>
          <t>R071</t>
        </is>
      </c>
      <c r="B28" t="n">
        <v>0.75</v>
      </c>
    </row>
    <row r="29">
      <c r="A29" t="inlineStr">
        <is>
          <t>R072</t>
        </is>
      </c>
      <c r="B29" t="n">
        <v>0.5</v>
      </c>
    </row>
    <row r="30">
      <c r="A30" t="inlineStr">
        <is>
          <t>R074</t>
        </is>
      </c>
      <c r="B30" t="n">
        <v>0.75</v>
      </c>
    </row>
    <row r="31">
      <c r="A31" t="inlineStr">
        <is>
          <t>R076</t>
        </is>
      </c>
      <c r="B31" t="n">
        <v>0</v>
      </c>
    </row>
    <row r="32">
      <c r="A32" t="inlineStr">
        <is>
          <t>R077</t>
        </is>
      </c>
      <c r="B32" t="n">
        <v>0.3846</v>
      </c>
    </row>
    <row r="33">
      <c r="A33" t="inlineStr">
        <is>
          <t>R084</t>
        </is>
      </c>
      <c r="B33" t="n">
        <v>0.6</v>
      </c>
    </row>
    <row r="34">
      <c r="A34" t="inlineStr">
        <is>
          <t>R087</t>
        </is>
      </c>
      <c r="B34" t="n">
        <v>0.25</v>
      </c>
    </row>
    <row r="35">
      <c r="A35" t="inlineStr">
        <is>
          <t>R090</t>
        </is>
      </c>
      <c r="B35" t="n">
        <v>0.6</v>
      </c>
    </row>
    <row r="36">
      <c r="A36" t="inlineStr">
        <is>
          <t>R093</t>
        </is>
      </c>
      <c r="B36" t="n">
        <v>0.6364</v>
      </c>
    </row>
    <row r="37">
      <c r="A37" t="inlineStr">
        <is>
          <t>R094</t>
        </is>
      </c>
      <c r="B37" t="n">
        <v>0.6</v>
      </c>
    </row>
    <row r="38">
      <c r="A38" t="inlineStr">
        <is>
          <t>R097</t>
        </is>
      </c>
      <c r="B38" t="n">
        <v>0.7333</v>
      </c>
    </row>
    <row r="39">
      <c r="A39" t="inlineStr">
        <is>
          <t>R100</t>
        </is>
      </c>
      <c r="B39" t="n">
        <v>0.8260999999999999</v>
      </c>
    </row>
    <row r="40">
      <c r="A40" t="inlineStr">
        <is>
          <t>R101</t>
        </is>
      </c>
      <c r="B40" t="n">
        <v>0.3939</v>
      </c>
    </row>
    <row r="41">
      <c r="A41" t="inlineStr">
        <is>
          <t>R109</t>
        </is>
      </c>
      <c r="B41" t="n">
        <v>0.25</v>
      </c>
    </row>
    <row r="42">
      <c r="A42" t="inlineStr">
        <is>
          <t>R114</t>
        </is>
      </c>
      <c r="B42" t="n">
        <v>0.75</v>
      </c>
    </row>
    <row r="43">
      <c r="A43" t="inlineStr">
        <is>
          <t>R115</t>
        </is>
      </c>
      <c r="B43" t="n">
        <v>0.6</v>
      </c>
    </row>
    <row r="44">
      <c r="A44" t="inlineStr">
        <is>
          <t>R116</t>
        </is>
      </c>
      <c r="B44" t="n">
        <v>0.3684</v>
      </c>
    </row>
    <row r="45">
      <c r="A45" t="inlineStr">
        <is>
          <t>R118</t>
        </is>
      </c>
      <c r="B45" t="n">
        <v>0</v>
      </c>
    </row>
    <row r="46">
      <c r="A46" t="inlineStr">
        <is>
          <t>R119</t>
        </is>
      </c>
      <c r="B46" t="n">
        <v>0.75</v>
      </c>
    </row>
    <row r="47">
      <c r="A47" t="inlineStr">
        <is>
          <t>R125</t>
        </is>
      </c>
      <c r="B47" t="n">
        <v>0.5</v>
      </c>
    </row>
    <row r="48">
      <c r="A48" t="inlineStr">
        <is>
          <t>R128</t>
        </is>
      </c>
      <c r="B48" t="n">
        <v>0.8182</v>
      </c>
    </row>
    <row r="49">
      <c r="A49" t="inlineStr">
        <is>
          <t>R130</t>
        </is>
      </c>
      <c r="B49" t="n">
        <v>0.4286</v>
      </c>
    </row>
    <row r="50">
      <c r="A50" t="inlineStr">
        <is>
          <t>R131</t>
        </is>
      </c>
      <c r="B50" t="n">
        <v>0.4286</v>
      </c>
    </row>
    <row r="51">
      <c r="A51" t="inlineStr">
        <is>
          <t>R132</t>
        </is>
      </c>
      <c r="B51" t="n">
        <v>0.4783</v>
      </c>
    </row>
    <row r="52">
      <c r="A52" t="inlineStr">
        <is>
          <t>R134</t>
        </is>
      </c>
      <c r="B52" t="n">
        <v>0.625</v>
      </c>
    </row>
    <row r="53">
      <c r="A53" t="inlineStr">
        <is>
          <t>R135</t>
        </is>
      </c>
      <c r="B53" t="n">
        <v>0.375</v>
      </c>
    </row>
    <row r="54">
      <c r="A54" t="inlineStr">
        <is>
          <t>R136</t>
        </is>
      </c>
      <c r="B54" t="n">
        <v>0</v>
      </c>
    </row>
    <row r="55">
      <c r="A55" t="inlineStr">
        <is>
          <t>R137</t>
        </is>
      </c>
      <c r="B55" t="n">
        <v>0.2</v>
      </c>
    </row>
    <row r="56">
      <c r="A56" t="inlineStr">
        <is>
          <t>R138</t>
        </is>
      </c>
      <c r="B56" t="n">
        <v>0.5</v>
      </c>
    </row>
    <row r="57">
      <c r="A57" t="inlineStr">
        <is>
          <t>R139</t>
        </is>
      </c>
      <c r="B57" t="n">
        <v>0.6</v>
      </c>
    </row>
    <row r="58">
      <c r="A58" t="inlineStr">
        <is>
          <t>R141</t>
        </is>
      </c>
      <c r="B58" t="n">
        <v>0.2</v>
      </c>
    </row>
    <row r="59">
      <c r="A59" t="inlineStr">
        <is>
          <t>R142</t>
        </is>
      </c>
      <c r="B59" t="n">
        <v>0.52</v>
      </c>
    </row>
    <row r="60">
      <c r="A60" t="inlineStr">
        <is>
          <t>R144</t>
        </is>
      </c>
      <c r="B60" t="n">
        <v>0.7143</v>
      </c>
    </row>
    <row r="61">
      <c r="A61" t="inlineStr">
        <is>
          <t>R145</t>
        </is>
      </c>
      <c r="B61" t="n">
        <v>0.5</v>
      </c>
    </row>
    <row r="62">
      <c r="A62" t="inlineStr">
        <is>
          <t>R147</t>
        </is>
      </c>
      <c r="B62" t="n">
        <v>0.6</v>
      </c>
    </row>
    <row r="63">
      <c r="A63" t="inlineStr">
        <is>
          <t>R150</t>
        </is>
      </c>
      <c r="B63" t="n">
        <v>0.4</v>
      </c>
    </row>
    <row r="64">
      <c r="A64" t="inlineStr">
        <is>
          <t>R151</t>
        </is>
      </c>
      <c r="B64" t="n">
        <v>-0.3333</v>
      </c>
    </row>
    <row r="65">
      <c r="A65" t="inlineStr">
        <is>
          <t>R152</t>
        </is>
      </c>
      <c r="B65" t="n">
        <v>0.0769</v>
      </c>
    </row>
    <row r="66">
      <c r="A66" t="inlineStr">
        <is>
          <t>R157</t>
        </is>
      </c>
      <c r="B66" t="n">
        <v>0.25</v>
      </c>
    </row>
    <row r="67">
      <c r="A67" t="inlineStr">
        <is>
          <t>R159</t>
        </is>
      </c>
      <c r="B67" t="n">
        <v>0.6667</v>
      </c>
    </row>
    <row r="68">
      <c r="A68" t="inlineStr">
        <is>
          <t>R163</t>
        </is>
      </c>
      <c r="B68" t="n">
        <v>0</v>
      </c>
    </row>
    <row r="69">
      <c r="A69" t="inlineStr">
        <is>
          <t>R164</t>
        </is>
      </c>
      <c r="B69" t="n">
        <v>0.25</v>
      </c>
    </row>
    <row r="70">
      <c r="A70" t="inlineStr">
        <is>
          <t>R166</t>
        </is>
      </c>
      <c r="B70" t="n">
        <v>0.1111</v>
      </c>
    </row>
    <row r="71">
      <c r="A71" t="inlineStr">
        <is>
          <t>R167</t>
        </is>
      </c>
      <c r="B71" t="n">
        <v>0.5714</v>
      </c>
    </row>
    <row r="72">
      <c r="A72" t="inlineStr">
        <is>
          <t>R168</t>
        </is>
      </c>
      <c r="B72" t="n">
        <v>0.5</v>
      </c>
    </row>
    <row r="73">
      <c r="A73" t="inlineStr">
        <is>
          <t>R171</t>
        </is>
      </c>
      <c r="B73" t="n">
        <v>0.3333</v>
      </c>
    </row>
    <row r="74">
      <c r="A74" t="inlineStr">
        <is>
          <t>R174</t>
        </is>
      </c>
      <c r="B74" t="n">
        <v>0.6</v>
      </c>
    </row>
    <row r="75">
      <c r="A75" t="inlineStr">
        <is>
          <t>R176</t>
        </is>
      </c>
      <c r="B75" t="n">
        <v>0.6</v>
      </c>
    </row>
    <row r="76">
      <c r="A76" t="inlineStr">
        <is>
          <t>R182</t>
        </is>
      </c>
      <c r="B76" t="n">
        <v>0.6923</v>
      </c>
    </row>
    <row r="77">
      <c r="A77" t="inlineStr">
        <is>
          <t>R183</t>
        </is>
      </c>
      <c r="B77" t="n">
        <v>0.6</v>
      </c>
    </row>
    <row r="78">
      <c r="A78" t="inlineStr">
        <is>
          <t>R185</t>
        </is>
      </c>
      <c r="B78" t="n">
        <v>0.5294</v>
      </c>
    </row>
    <row r="79">
      <c r="A79" t="inlineStr">
        <is>
          <t>R186</t>
        </is>
      </c>
      <c r="B79" t="n">
        <v>0.6</v>
      </c>
    </row>
    <row r="80">
      <c r="A80" t="inlineStr">
        <is>
          <t>R189</t>
        </is>
      </c>
      <c r="B80" t="n">
        <v>0.0769</v>
      </c>
    </row>
    <row r="81">
      <c r="A81" t="inlineStr">
        <is>
          <t>R190</t>
        </is>
      </c>
      <c r="B81" t="n">
        <v>0.871</v>
      </c>
    </row>
    <row r="82">
      <c r="A82" t="inlineStr">
        <is>
          <t>R192</t>
        </is>
      </c>
      <c r="B82" t="n">
        <v>0.3333</v>
      </c>
    </row>
    <row r="83">
      <c r="A83" t="inlineStr">
        <is>
          <t>R193</t>
        </is>
      </c>
      <c r="B83" t="n">
        <v>-0.1429</v>
      </c>
    </row>
    <row r="84">
      <c r="A84" t="inlineStr">
        <is>
          <t>R195</t>
        </is>
      </c>
      <c r="B84" t="n">
        <v>0.6</v>
      </c>
    </row>
    <row r="85">
      <c r="A85" t="inlineStr">
        <is>
          <t>R199</t>
        </is>
      </c>
      <c r="B85" t="n">
        <v>-0.2</v>
      </c>
    </row>
    <row r="86">
      <c r="A86" t="inlineStr">
        <is>
          <t>R200</t>
        </is>
      </c>
      <c r="B86" t="n">
        <v>-0.25</v>
      </c>
    </row>
    <row r="87">
      <c r="A87" t="inlineStr">
        <is>
          <t>R201</t>
        </is>
      </c>
      <c r="B87" t="n">
        <v>0.4545</v>
      </c>
    </row>
    <row r="88">
      <c r="A88" t="inlineStr">
        <is>
          <t>R202</t>
        </is>
      </c>
      <c r="B88" t="n">
        <v>0.75</v>
      </c>
    </row>
    <row r="89">
      <c r="A89" t="inlineStr">
        <is>
          <t>R204</t>
        </is>
      </c>
      <c r="B89" t="n">
        <v>-0.1429</v>
      </c>
    </row>
    <row r="90">
      <c r="A90" t="inlineStr">
        <is>
          <t>R205</t>
        </is>
      </c>
      <c r="B90" t="n">
        <v>0.5</v>
      </c>
    </row>
    <row r="91">
      <c r="A91" t="inlineStr">
        <is>
          <t>R207</t>
        </is>
      </c>
      <c r="B91" t="n">
        <v>0.25</v>
      </c>
    </row>
    <row r="92">
      <c r="A92" t="inlineStr">
        <is>
          <t>R208</t>
        </is>
      </c>
      <c r="B92" t="n">
        <v>0.4667</v>
      </c>
    </row>
    <row r="93">
      <c r="A93" t="inlineStr">
        <is>
          <t>R212</t>
        </is>
      </c>
      <c r="B93" t="n">
        <v>0.5</v>
      </c>
    </row>
    <row r="94">
      <c r="A94" t="inlineStr">
        <is>
          <t>R214</t>
        </is>
      </c>
      <c r="B94" t="n">
        <v>0.7143</v>
      </c>
    </row>
    <row r="95">
      <c r="A95" t="inlineStr">
        <is>
          <t>R215</t>
        </is>
      </c>
      <c r="B95" t="n">
        <v>0.3333</v>
      </c>
    </row>
    <row r="96">
      <c r="A96" t="inlineStr">
        <is>
          <t>R217</t>
        </is>
      </c>
      <c r="B96" t="n">
        <v>0.3333</v>
      </c>
    </row>
    <row r="97">
      <c r="A97" t="inlineStr">
        <is>
          <t>R218</t>
        </is>
      </c>
      <c r="B97" t="n">
        <v>0.7143</v>
      </c>
    </row>
    <row r="98">
      <c r="A98" t="inlineStr">
        <is>
          <t>R219</t>
        </is>
      </c>
      <c r="B98" t="n">
        <v>0.6129</v>
      </c>
    </row>
    <row r="99">
      <c r="A99" t="inlineStr">
        <is>
          <t>R221</t>
        </is>
      </c>
      <c r="B99" t="n">
        <v>0.4</v>
      </c>
    </row>
    <row r="100">
      <c r="A100" t="inlineStr">
        <is>
          <t>R222</t>
        </is>
      </c>
      <c r="B100" t="n">
        <v>0.1429</v>
      </c>
    </row>
    <row r="101">
      <c r="A101" t="inlineStr">
        <is>
          <t>R223</t>
        </is>
      </c>
      <c r="B101" t="n">
        <v>-0.09089999999999999</v>
      </c>
    </row>
    <row r="102">
      <c r="A102" t="inlineStr">
        <is>
          <t>R229</t>
        </is>
      </c>
      <c r="B102" t="n">
        <v>0.5556</v>
      </c>
    </row>
    <row r="103">
      <c r="A103" t="inlineStr">
        <is>
          <t>R231</t>
        </is>
      </c>
      <c r="B103" t="n">
        <v>0.2</v>
      </c>
    </row>
    <row r="104">
      <c r="A104" t="inlineStr">
        <is>
          <t>R232</t>
        </is>
      </c>
      <c r="B104" t="n">
        <v>1</v>
      </c>
    </row>
    <row r="105">
      <c r="A105" t="inlineStr">
        <is>
          <t>R235</t>
        </is>
      </c>
      <c r="B105" t="n">
        <v>0.4483</v>
      </c>
    </row>
    <row r="106">
      <c r="A106" t="inlineStr">
        <is>
          <t>R238</t>
        </is>
      </c>
      <c r="B106" t="n">
        <v>0.75</v>
      </c>
    </row>
    <row r="107">
      <c r="A107" t="inlineStr">
        <is>
          <t>R240</t>
        </is>
      </c>
      <c r="B107" t="n">
        <v>0.84</v>
      </c>
    </row>
    <row r="108">
      <c r="A108" t="inlineStr">
        <is>
          <t>R241</t>
        </is>
      </c>
      <c r="B108" t="n">
        <v>0.68</v>
      </c>
    </row>
    <row r="109">
      <c r="A109" t="inlineStr">
        <is>
          <t>R242</t>
        </is>
      </c>
      <c r="B109" t="n">
        <v>0.3939</v>
      </c>
    </row>
    <row r="110">
      <c r="A110" t="inlineStr">
        <is>
          <t>R246</t>
        </is>
      </c>
      <c r="B110" t="n">
        <v>0.4839</v>
      </c>
    </row>
    <row r="111">
      <c r="A111" t="inlineStr">
        <is>
          <t>R247</t>
        </is>
      </c>
      <c r="B111" t="n">
        <v>0.6129</v>
      </c>
    </row>
    <row r="112">
      <c r="A112" t="inlineStr">
        <is>
          <t>R248</t>
        </is>
      </c>
      <c r="B112" t="n">
        <v>0.5</v>
      </c>
    </row>
    <row r="113">
      <c r="A113" t="inlineStr">
        <is>
          <t>R249</t>
        </is>
      </c>
      <c r="B113" t="n">
        <v>0.75</v>
      </c>
    </row>
    <row r="114">
      <c r="A114" t="inlineStr">
        <is>
          <t>R250</t>
        </is>
      </c>
      <c r="B114" t="n">
        <v>0.1667</v>
      </c>
    </row>
    <row r="115">
      <c r="A115" t="inlineStr">
        <is>
          <t>R252</t>
        </is>
      </c>
      <c r="B115" t="n">
        <v>0.75</v>
      </c>
    </row>
    <row r="116">
      <c r="A116" t="inlineStr">
        <is>
          <t>R253</t>
        </is>
      </c>
      <c r="B116" t="n">
        <v>0.5556</v>
      </c>
    </row>
    <row r="117">
      <c r="A117" t="inlineStr">
        <is>
          <t>R254</t>
        </is>
      </c>
      <c r="B117" t="n">
        <v>0.25</v>
      </c>
    </row>
    <row r="118">
      <c r="A118" t="inlineStr">
        <is>
          <t>R257</t>
        </is>
      </c>
      <c r="B118" t="n">
        <v>0.3846</v>
      </c>
    </row>
    <row r="119">
      <c r="A119" t="inlineStr">
        <is>
          <t>R259</t>
        </is>
      </c>
      <c r="B119" t="n">
        <v>1</v>
      </c>
    </row>
    <row r="120">
      <c r="A120" t="inlineStr">
        <is>
          <t>R264</t>
        </is>
      </c>
      <c r="B120" t="n">
        <v>0.4667</v>
      </c>
    </row>
    <row r="121">
      <c r="A121" t="inlineStr">
        <is>
          <t>R265</t>
        </is>
      </c>
      <c r="B121" t="n">
        <v>0.5556</v>
      </c>
    </row>
    <row r="122">
      <c r="A122" t="inlineStr">
        <is>
          <t>R267</t>
        </is>
      </c>
      <c r="B122" t="n">
        <v>-0.09089999999999999</v>
      </c>
    </row>
    <row r="123">
      <c r="A123" t="inlineStr">
        <is>
          <t>R273</t>
        </is>
      </c>
      <c r="B123" t="n">
        <v>0.7333</v>
      </c>
    </row>
    <row r="124">
      <c r="A124" t="inlineStr">
        <is>
          <t>R274</t>
        </is>
      </c>
      <c r="B124" t="n">
        <v>0.4</v>
      </c>
    </row>
    <row r="125">
      <c r="A125" t="inlineStr">
        <is>
          <t>R277</t>
        </is>
      </c>
      <c r="B125" t="n">
        <v>0.3846</v>
      </c>
    </row>
    <row r="126">
      <c r="A126" t="inlineStr">
        <is>
          <t>R278</t>
        </is>
      </c>
      <c r="B126" t="n">
        <v>0.7241</v>
      </c>
    </row>
    <row r="127">
      <c r="A127" t="inlineStr">
        <is>
          <t>R280</t>
        </is>
      </c>
      <c r="B127" t="n">
        <v>0.2</v>
      </c>
    </row>
    <row r="128">
      <c r="A128" t="inlineStr">
        <is>
          <t>R281</t>
        </is>
      </c>
      <c r="B128" t="n">
        <v>0.1667</v>
      </c>
    </row>
    <row r="129">
      <c r="A129" t="inlineStr">
        <is>
          <t>R282</t>
        </is>
      </c>
      <c r="B129" t="n">
        <v>-0.2</v>
      </c>
    </row>
    <row r="130">
      <c r="A130" t="inlineStr">
        <is>
          <t>R283</t>
        </is>
      </c>
      <c r="B130" t="n">
        <v>0.4483</v>
      </c>
    </row>
    <row r="131">
      <c r="A131" t="inlineStr">
        <is>
          <t>R284</t>
        </is>
      </c>
      <c r="B131" t="n">
        <v>0.6522</v>
      </c>
    </row>
    <row r="132">
      <c r="A132" t="inlineStr">
        <is>
          <t>R285</t>
        </is>
      </c>
      <c r="B132" t="n">
        <v>0.4</v>
      </c>
    </row>
    <row r="133">
      <c r="A133" t="inlineStr">
        <is>
          <t>R287</t>
        </is>
      </c>
      <c r="B133" t="n">
        <v>0.625</v>
      </c>
    </row>
    <row r="134">
      <c r="A134" t="inlineStr">
        <is>
          <t>R296</t>
        </is>
      </c>
      <c r="B134" t="n">
        <v>0.7143</v>
      </c>
    </row>
    <row r="135">
      <c r="A135" t="inlineStr">
        <is>
          <t>R302</t>
        </is>
      </c>
      <c r="B135" t="n">
        <v>0.4</v>
      </c>
    </row>
    <row r="136">
      <c r="A136" t="inlineStr">
        <is>
          <t>R305</t>
        </is>
      </c>
      <c r="B136" t="n">
        <v>0.2</v>
      </c>
    </row>
    <row r="137">
      <c r="A137" t="inlineStr">
        <is>
          <t>R306</t>
        </is>
      </c>
      <c r="B137" t="n">
        <v>0.5</v>
      </c>
    </row>
    <row r="138">
      <c r="A138" t="inlineStr">
        <is>
          <t>R310</t>
        </is>
      </c>
      <c r="B138" t="n">
        <v>0.3333</v>
      </c>
    </row>
    <row r="139">
      <c r="A139" t="inlineStr">
        <is>
          <t>R311</t>
        </is>
      </c>
      <c r="B139" t="n">
        <v>0.7241</v>
      </c>
    </row>
    <row r="140">
      <c r="A140" t="inlineStr">
        <is>
          <t>R312</t>
        </is>
      </c>
      <c r="B140" t="n">
        <v>0.6</v>
      </c>
    </row>
    <row r="141">
      <c r="A141" t="inlineStr">
        <is>
          <t>R313</t>
        </is>
      </c>
      <c r="B141" t="n">
        <v>1</v>
      </c>
    </row>
    <row r="142">
      <c r="A142" t="inlineStr">
        <is>
          <t>R314</t>
        </is>
      </c>
      <c r="B142" t="n">
        <v>0.5556</v>
      </c>
    </row>
    <row r="143">
      <c r="A143" t="inlineStr">
        <is>
          <t>R315</t>
        </is>
      </c>
      <c r="B143" t="n">
        <v>0.6</v>
      </c>
    </row>
    <row r="144">
      <c r="A144" t="inlineStr">
        <is>
          <t>R317</t>
        </is>
      </c>
      <c r="B144" t="n">
        <v>0.7333</v>
      </c>
    </row>
    <row r="145">
      <c r="A145" t="inlineStr">
        <is>
          <t>R319</t>
        </is>
      </c>
      <c r="B145" t="n">
        <v>0.0769</v>
      </c>
    </row>
    <row r="146">
      <c r="A146" t="inlineStr">
        <is>
          <t>R321</t>
        </is>
      </c>
      <c r="B146" t="n">
        <v>0.2857</v>
      </c>
    </row>
    <row r="147">
      <c r="A147" t="inlineStr">
        <is>
          <t>R322</t>
        </is>
      </c>
      <c r="B147" t="n">
        <v>0.75</v>
      </c>
    </row>
    <row r="148">
      <c r="A148" t="inlineStr">
        <is>
          <t>R325</t>
        </is>
      </c>
      <c r="B148" t="n">
        <v>0.6</v>
      </c>
    </row>
    <row r="149">
      <c r="A149" t="inlineStr">
        <is>
          <t>R326</t>
        </is>
      </c>
      <c r="B149" t="n">
        <v>0.5</v>
      </c>
    </row>
    <row r="150">
      <c r="A150" t="inlineStr">
        <is>
          <t>R328</t>
        </is>
      </c>
      <c r="B150" t="n">
        <v>0.5</v>
      </c>
    </row>
    <row r="151">
      <c r="A151" t="inlineStr">
        <is>
          <t>R330</t>
        </is>
      </c>
      <c r="B151" t="n">
        <v>0.6</v>
      </c>
    </row>
    <row r="152">
      <c r="A152" t="inlineStr">
        <is>
          <t>R331</t>
        </is>
      </c>
      <c r="B152" t="n">
        <v>0.5556</v>
      </c>
    </row>
    <row r="153">
      <c r="A153" t="inlineStr">
        <is>
          <t>R332</t>
        </is>
      </c>
      <c r="B153" t="n">
        <v>1</v>
      </c>
    </row>
    <row r="154">
      <c r="A154" t="inlineStr">
        <is>
          <t>R333</t>
        </is>
      </c>
      <c r="B154" t="n">
        <v>0.5</v>
      </c>
    </row>
    <row r="155">
      <c r="A155" t="inlineStr">
        <is>
          <t>R336</t>
        </is>
      </c>
      <c r="B155" t="n">
        <v>0.6667</v>
      </c>
    </row>
    <row r="156">
      <c r="A156" t="inlineStr">
        <is>
          <t>R337</t>
        </is>
      </c>
      <c r="B156" t="n">
        <v>0.8260999999999999</v>
      </c>
    </row>
    <row r="157">
      <c r="A157" t="inlineStr">
        <is>
          <t>R339</t>
        </is>
      </c>
      <c r="B157" t="n">
        <v>0.6</v>
      </c>
    </row>
    <row r="158">
      <c r="A158" t="inlineStr">
        <is>
          <t>R340</t>
        </is>
      </c>
      <c r="B158" t="n">
        <v>0.2381</v>
      </c>
    </row>
    <row r="159">
      <c r="A159" t="inlineStr">
        <is>
          <t>R345</t>
        </is>
      </c>
      <c r="B159" t="n">
        <v>0.2727</v>
      </c>
    </row>
    <row r="160">
      <c r="A160" t="inlineStr">
        <is>
          <t>R347</t>
        </is>
      </c>
      <c r="B160" t="n">
        <v>0.2727</v>
      </c>
    </row>
    <row r="161">
      <c r="A161" t="inlineStr">
        <is>
          <t>R349</t>
        </is>
      </c>
      <c r="B161" t="n">
        <v>0.4783</v>
      </c>
    </row>
    <row r="162">
      <c r="A162" t="inlineStr">
        <is>
          <t>R352</t>
        </is>
      </c>
      <c r="B162" t="n">
        <v>0.7895</v>
      </c>
    </row>
    <row r="163">
      <c r="A163" t="inlineStr">
        <is>
          <t>R354</t>
        </is>
      </c>
      <c r="B163" t="n">
        <v>0.5862000000000001</v>
      </c>
    </row>
    <row r="164">
      <c r="A164" t="inlineStr">
        <is>
          <t>R356</t>
        </is>
      </c>
      <c r="B164" t="n">
        <v>0.4</v>
      </c>
    </row>
    <row r="165">
      <c r="A165" t="inlineStr">
        <is>
          <t>R359</t>
        </is>
      </c>
      <c r="B165" t="n">
        <v>0.4483</v>
      </c>
    </row>
    <row r="166">
      <c r="A166" t="inlineStr">
        <is>
          <t>R360</t>
        </is>
      </c>
      <c r="B166" t="n">
        <v>0.36</v>
      </c>
    </row>
    <row r="167">
      <c r="A167" t="inlineStr">
        <is>
          <t>R363</t>
        </is>
      </c>
      <c r="B167" t="n">
        <v>0.8095</v>
      </c>
    </row>
    <row r="168">
      <c r="A168" t="inlineStr">
        <is>
          <t>R365</t>
        </is>
      </c>
      <c r="B168" t="n">
        <v>0.4286</v>
      </c>
    </row>
    <row r="169">
      <c r="A169" t="inlineStr">
        <is>
          <t>R366</t>
        </is>
      </c>
      <c r="B169" t="n">
        <v>0.25</v>
      </c>
    </row>
    <row r="170">
      <c r="A170" t="inlineStr">
        <is>
          <t>R368</t>
        </is>
      </c>
      <c r="B170" t="n">
        <v>0.4667</v>
      </c>
    </row>
    <row r="171">
      <c r="A171" t="inlineStr">
        <is>
          <t>R369</t>
        </is>
      </c>
      <c r="B171" t="n">
        <v>0.6</v>
      </c>
    </row>
    <row r="172">
      <c r="A172" t="inlineStr">
        <is>
          <t>R370</t>
        </is>
      </c>
      <c r="B172" t="n">
        <v>1</v>
      </c>
    </row>
    <row r="173">
      <c r="A173" t="inlineStr">
        <is>
          <t>R372</t>
        </is>
      </c>
      <c r="B173" t="n">
        <v>0.6</v>
      </c>
    </row>
    <row r="174">
      <c r="A174" t="inlineStr">
        <is>
          <t>R373</t>
        </is>
      </c>
      <c r="B174" t="n">
        <v>1</v>
      </c>
    </row>
    <row r="175">
      <c r="A175" t="inlineStr">
        <is>
          <t>R375</t>
        </is>
      </c>
      <c r="B175" t="n">
        <v>0.7647</v>
      </c>
    </row>
    <row r="176">
      <c r="A176" t="inlineStr">
        <is>
          <t>R376</t>
        </is>
      </c>
      <c r="B176" t="n">
        <v>0.5</v>
      </c>
    </row>
    <row r="177">
      <c r="A177" t="inlineStr">
        <is>
          <t>R379</t>
        </is>
      </c>
      <c r="B177" t="n">
        <v>0.75</v>
      </c>
    </row>
    <row r="178">
      <c r="A178" t="inlineStr">
        <is>
          <t>R381</t>
        </is>
      </c>
      <c r="B178" t="n">
        <v>0.5294</v>
      </c>
    </row>
    <row r="179">
      <c r="A179" t="inlineStr">
        <is>
          <t>R382</t>
        </is>
      </c>
      <c r="B179" t="n">
        <v>1</v>
      </c>
    </row>
    <row r="180">
      <c r="A180" t="inlineStr">
        <is>
          <t>R383</t>
        </is>
      </c>
      <c r="B180" t="n">
        <v>0.09089999999999999</v>
      </c>
    </row>
    <row r="181">
      <c r="A181" t="inlineStr">
        <is>
          <t>R386</t>
        </is>
      </c>
      <c r="B181" t="n">
        <v>0.75</v>
      </c>
    </row>
    <row r="182">
      <c r="A182" t="inlineStr">
        <is>
          <t>R387</t>
        </is>
      </c>
      <c r="B182" t="n">
        <v>0.6</v>
      </c>
    </row>
    <row r="183">
      <c r="A183" t="inlineStr">
        <is>
          <t>R389</t>
        </is>
      </c>
      <c r="B183" t="n">
        <v>0.6522</v>
      </c>
    </row>
    <row r="184">
      <c r="A184" t="inlineStr">
        <is>
          <t>R392</t>
        </is>
      </c>
      <c r="B184" t="n">
        <v>0</v>
      </c>
    </row>
    <row r="185">
      <c r="A185" t="inlineStr">
        <is>
          <t>R394</t>
        </is>
      </c>
      <c r="B185" t="n">
        <v>0.5</v>
      </c>
    </row>
    <row r="186">
      <c r="A186" t="inlineStr">
        <is>
          <t>R396</t>
        </is>
      </c>
      <c r="B186" t="n">
        <v>1</v>
      </c>
    </row>
    <row r="187">
      <c r="A187" t="inlineStr">
        <is>
          <t>R397</t>
        </is>
      </c>
      <c r="B187" t="n">
        <v>0.4</v>
      </c>
    </row>
    <row r="188">
      <c r="A188" t="inlineStr">
        <is>
          <t>R400</t>
        </is>
      </c>
      <c r="B188" t="n">
        <v>0.5294</v>
      </c>
    </row>
    <row r="189">
      <c r="A189" t="inlineStr">
        <is>
          <t>R404</t>
        </is>
      </c>
      <c r="B189" t="n">
        <v>0.6</v>
      </c>
    </row>
    <row r="190">
      <c r="A190" t="inlineStr">
        <is>
          <t>R405</t>
        </is>
      </c>
      <c r="B190" t="n">
        <v>-0.0667</v>
      </c>
    </row>
    <row r="192">
      <c r="A192" s="4" t="inlineStr">
        <is>
          <t>Median</t>
        </is>
      </c>
      <c r="B192">
        <f>MEDIAN(B4:B190)</f>
        <v/>
      </c>
    </row>
    <row r="193">
      <c r="A193" s="4" t="inlineStr">
        <is>
          <t>Mean</t>
        </is>
      </c>
      <c r="B193">
        <f>AVERAGE(B4:B190)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2026-09-12T18:31:17Z</dcterms:created>
  <dcterms:modified xmlns:dcterms="http://purl.org/dc/terms/" xmlns:xsi="http://www.w3.org/2001/XMLSchema-instance" xsi:type="dcterms:W3CDTF">2026-09-12T18:31:17Z</dcterms:modified>
</cp:coreProperties>
</file>